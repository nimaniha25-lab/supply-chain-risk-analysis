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analytics portfolio proejcts\"/>
    </mc:Choice>
  </mc:AlternateContent>
  <xr:revisionPtr revIDLastSave="0" documentId="13_ncr:1_{429A0AA3-ECA5-4399-945C-367C0AA369B5}" xr6:coauthVersionLast="41" xr6:coauthVersionMax="41" xr10:uidLastSave="{00000000-0000-0000-0000-000000000000}"/>
  <bookViews>
    <workbookView xWindow="-110" yWindow="-110" windowWidth="19420" windowHeight="10300" xr2:uid="{00000000-000D-0000-FFFF-FFFF00000000}"/>
  </bookViews>
  <sheets>
    <sheet name="Dashboard" sheetId="6" r:id="rId1"/>
    <sheet name="Instructions" sheetId="2" r:id="rId2"/>
    <sheet name="Pivot table1" sheetId="4" r:id="rId3"/>
    <sheet name="Supplier_Info" sheetId="5" r:id="rId4"/>
    <sheet name="Pivot table2" sheetId="7" r:id="rId5"/>
    <sheet name="Raw_Data" sheetId="1" r:id="rId6"/>
  </sheets>
  <calcPr calcId="191029"/>
  <pivotCaches>
    <pivotCache cacheId="10" r:id="rId7"/>
    <pivotCache cacheId="14" r:id="rId8"/>
  </pivotCaches>
</workbook>
</file>

<file path=xl/calcChain.xml><?xml version="1.0" encoding="utf-8"?>
<calcChain xmlns="http://schemas.openxmlformats.org/spreadsheetml/2006/main">
  <c r="C2" i="6" l="1"/>
  <c r="B2" i="6"/>
  <c r="A2" i="6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204" i="1" l="1"/>
  <c r="A20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A207" i="1"/>
  <c r="A205" i="1"/>
</calcChain>
</file>

<file path=xl/sharedStrings.xml><?xml version="1.0" encoding="utf-8"?>
<sst xmlns="http://schemas.openxmlformats.org/spreadsheetml/2006/main" count="1476" uniqueCount="230">
  <si>
    <t>OrderID</t>
  </si>
  <si>
    <t>OrderDate</t>
  </si>
  <si>
    <t>SKU</t>
  </si>
  <si>
    <t>ProductCategory</t>
  </si>
  <si>
    <t>Warehouse</t>
  </si>
  <si>
    <t>Region</t>
  </si>
  <si>
    <t>Supplier</t>
  </si>
  <si>
    <t>QuantityOrdered</t>
  </si>
  <si>
    <t>UnitCost</t>
  </si>
  <si>
    <t>UnitPrice</t>
  </si>
  <si>
    <t>LeadTimeDays</t>
  </si>
  <si>
    <t>StockOnHand</t>
  </si>
  <si>
    <t>ReorderPoint</t>
  </si>
  <si>
    <t>DeliveryStatus</t>
  </si>
  <si>
    <t>2025-07-14</t>
  </si>
  <si>
    <t>SKU-1007</t>
  </si>
  <si>
    <t>Furniture</t>
  </si>
  <si>
    <t>WH-Islamabad</t>
  </si>
  <si>
    <t>North</t>
  </si>
  <si>
    <t>Beta Supply Co</t>
  </si>
  <si>
    <t>On-Time</t>
  </si>
  <si>
    <t>2025-05-06</t>
  </si>
  <si>
    <t>SKU-1011</t>
  </si>
  <si>
    <t>Electronics</t>
  </si>
  <si>
    <t>WH-Lahore</t>
  </si>
  <si>
    <t>2025-06-11</t>
  </si>
  <si>
    <t>SKU-1021</t>
  </si>
  <si>
    <t>WH-Karachi</t>
  </si>
  <si>
    <t>South</t>
  </si>
  <si>
    <t>Gamma Logistics</t>
  </si>
  <si>
    <t>2025-03-13</t>
  </si>
  <si>
    <t>SKU-1006</t>
  </si>
  <si>
    <t>Central</t>
  </si>
  <si>
    <t>2025-09-18</t>
  </si>
  <si>
    <t>SKU-1023</t>
  </si>
  <si>
    <t>Apparel</t>
  </si>
  <si>
    <t>2025-07-15</t>
  </si>
  <si>
    <t>SKU-1020</t>
  </si>
  <si>
    <t>2025-06-24</t>
  </si>
  <si>
    <t>SKU-1017</t>
  </si>
  <si>
    <t>Delta Sourcing</t>
  </si>
  <si>
    <t>2025-09-17</t>
  </si>
  <si>
    <t>SKU-1000</t>
  </si>
  <si>
    <t>Late</t>
  </si>
  <si>
    <t>2025-06-15</t>
  </si>
  <si>
    <t>SKU-1004</t>
  </si>
  <si>
    <t>2025-02-05</t>
  </si>
  <si>
    <t>2025-04-19</t>
  </si>
  <si>
    <t>2025-03-03</t>
  </si>
  <si>
    <t>SKU-1022</t>
  </si>
  <si>
    <t>Sports</t>
  </si>
  <si>
    <t>Alpha Traders</t>
  </si>
  <si>
    <t>2025-04-28</t>
  </si>
  <si>
    <t>SKU-1018</t>
  </si>
  <si>
    <t>2025-08-31</t>
  </si>
  <si>
    <t>SKU-1016</t>
  </si>
  <si>
    <t>2025-08-28</t>
  </si>
  <si>
    <t>SKU-1003</t>
  </si>
  <si>
    <t>2025-04-08</t>
  </si>
  <si>
    <t>SKU-1001</t>
  </si>
  <si>
    <t>2025-01-26</t>
  </si>
  <si>
    <t>SKU-1008</t>
  </si>
  <si>
    <t>2025-04-20</t>
  </si>
  <si>
    <t>SKU-1024</t>
  </si>
  <si>
    <t>2025-09-07</t>
  </si>
  <si>
    <t>2025-09-02</t>
  </si>
  <si>
    <t>2025-05-01</t>
  </si>
  <si>
    <t>2025-04-15</t>
  </si>
  <si>
    <t>SKU-1019</t>
  </si>
  <si>
    <t>2025-01-05</t>
  </si>
  <si>
    <t>SKU-1012</t>
  </si>
  <si>
    <t>2025-06-03</t>
  </si>
  <si>
    <t>SKU-1014</t>
  </si>
  <si>
    <t>2025-04-18</t>
  </si>
  <si>
    <t>2025-05-22</t>
  </si>
  <si>
    <t>2025-02-27</t>
  </si>
  <si>
    <t>SKU-1005</t>
  </si>
  <si>
    <t>2025-06-07</t>
  </si>
  <si>
    <t>2025-03-21</t>
  </si>
  <si>
    <t>2025-05-17</t>
  </si>
  <si>
    <t>SKU-1013</t>
  </si>
  <si>
    <t>2025-06-29</t>
  </si>
  <si>
    <t>2025-05-23</t>
  </si>
  <si>
    <t>2025-01-20</t>
  </si>
  <si>
    <t>2025-05-11</t>
  </si>
  <si>
    <t>2025-08-09</t>
  </si>
  <si>
    <t>2025-02-13</t>
  </si>
  <si>
    <t>2025-03-17</t>
  </si>
  <si>
    <t>SKU-1002</t>
  </si>
  <si>
    <t>Home Goods</t>
  </si>
  <si>
    <t>2025-09-11</t>
  </si>
  <si>
    <t>2025-09-23</t>
  </si>
  <si>
    <t>2025-08-15</t>
  </si>
  <si>
    <t>2025-05-07</t>
  </si>
  <si>
    <t>2025-02-02</t>
  </si>
  <si>
    <t>2025-03-07</t>
  </si>
  <si>
    <t>2025-03-11</t>
  </si>
  <si>
    <t>2025-04-25</t>
  </si>
  <si>
    <t>SKU-1015</t>
  </si>
  <si>
    <t>2025-03-06</t>
  </si>
  <si>
    <t>2025-03-25</t>
  </si>
  <si>
    <t>2025-02-08</t>
  </si>
  <si>
    <t>SKU-1009</t>
  </si>
  <si>
    <t>2025-06-27</t>
  </si>
  <si>
    <t>2025-02-24</t>
  </si>
  <si>
    <t>2025-09-05</t>
  </si>
  <si>
    <t>2025-05-05</t>
  </si>
  <si>
    <t>SKU-1010</t>
  </si>
  <si>
    <t>2025-07-01</t>
  </si>
  <si>
    <t>2025-09-08</t>
  </si>
  <si>
    <t>2025-04-24</t>
  </si>
  <si>
    <t>2025-06-30</t>
  </si>
  <si>
    <t>2025-04-09</t>
  </si>
  <si>
    <t>2025-06-04</t>
  </si>
  <si>
    <t>2025-09-09</t>
  </si>
  <si>
    <t>2025-05-10</t>
  </si>
  <si>
    <t>2025-06-05</t>
  </si>
  <si>
    <t>2025-05-16</t>
  </si>
  <si>
    <t>2025-05-30</t>
  </si>
  <si>
    <t>2025-04-12</t>
  </si>
  <si>
    <t>2025-05-28</t>
  </si>
  <si>
    <t>2025-08-13</t>
  </si>
  <si>
    <t>2025-05-18</t>
  </si>
  <si>
    <t>2025-08-29</t>
  </si>
  <si>
    <t>2025-01-19</t>
  </si>
  <si>
    <t>2025-08-25</t>
  </si>
  <si>
    <t>2025-03-09</t>
  </si>
  <si>
    <t>2025-07-28</t>
  </si>
  <si>
    <t>2025-08-01</t>
  </si>
  <si>
    <t>2025-03-18</t>
  </si>
  <si>
    <t>2025-04-07</t>
  </si>
  <si>
    <t>2025-02-21</t>
  </si>
  <si>
    <t>2025-08-11</t>
  </si>
  <si>
    <t>2025-01-29</t>
  </si>
  <si>
    <t>2025-02-10</t>
  </si>
  <si>
    <t>2025-08-24</t>
  </si>
  <si>
    <t>2025-09-12</t>
  </si>
  <si>
    <t>2025-01-21</t>
  </si>
  <si>
    <t>2025-03-31</t>
  </si>
  <si>
    <t>2025-02-28</t>
  </si>
  <si>
    <t>2025-07-22</t>
  </si>
  <si>
    <t>2025-02-25</t>
  </si>
  <si>
    <t>2025-07-29</t>
  </si>
  <si>
    <t>2025-08-21</t>
  </si>
  <si>
    <t>2025-07-03</t>
  </si>
  <si>
    <t>2025-04-30</t>
  </si>
  <si>
    <t>2025-09-20</t>
  </si>
  <si>
    <t>2025-02-01</t>
  </si>
  <si>
    <t>2025-06-14</t>
  </si>
  <si>
    <t>2025-04-27</t>
  </si>
  <si>
    <t>2025-07-11</t>
  </si>
  <si>
    <t>2025-03-08</t>
  </si>
  <si>
    <t>2025-01-15</t>
  </si>
  <si>
    <t>2025-03-22</t>
  </si>
  <si>
    <t>2025-08-06</t>
  </si>
  <si>
    <t>2025-05-26</t>
  </si>
  <si>
    <t>2025-02-09</t>
  </si>
  <si>
    <t>2025-06-16</t>
  </si>
  <si>
    <t>2025-09-26</t>
  </si>
  <si>
    <t>2025-09-19</t>
  </si>
  <si>
    <t>2025-09-14</t>
  </si>
  <si>
    <t>2025-01-27</t>
  </si>
  <si>
    <t>2025-06-20</t>
  </si>
  <si>
    <t>2025-06-08</t>
  </si>
  <si>
    <t>2025-08-16</t>
  </si>
  <si>
    <t>2025-07-10</t>
  </si>
  <si>
    <t>2025-08-12</t>
  </si>
  <si>
    <t>2025-07-17</t>
  </si>
  <si>
    <t>2025-05-27</t>
  </si>
  <si>
    <t>2025-01-10</t>
  </si>
  <si>
    <t>2025-05-03</t>
  </si>
  <si>
    <t>2025-09-21</t>
  </si>
  <si>
    <t>2025-04-06</t>
  </si>
  <si>
    <t>2025-01-11</t>
  </si>
  <si>
    <t>2025-06-26</t>
  </si>
  <si>
    <t>2025-06-23</t>
  </si>
  <si>
    <t>2025-07-08</t>
  </si>
  <si>
    <t>2025-05-31</t>
  </si>
  <si>
    <t>2025-07-06</t>
  </si>
  <si>
    <t>2025-01-14</t>
  </si>
  <si>
    <t>2025-03-04</t>
  </si>
  <si>
    <t>2025-02-14</t>
  </si>
  <si>
    <t>2025-06-12</t>
  </si>
  <si>
    <t>2025-08-10</t>
  </si>
  <si>
    <t>2025-03-20</t>
  </si>
  <si>
    <t>2025-03-14</t>
  </si>
  <si>
    <t>2025-09-16</t>
  </si>
  <si>
    <t>2025-07-25</t>
  </si>
  <si>
    <t>2025-08-02</t>
  </si>
  <si>
    <t>2025-09-03</t>
  </si>
  <si>
    <t>2025-06-28</t>
  </si>
  <si>
    <t>2025-05-12</t>
  </si>
  <si>
    <t>2025-01-03</t>
  </si>
  <si>
    <t>2025-02-15</t>
  </si>
  <si>
    <t>2025-08-07</t>
  </si>
  <si>
    <t>How to use this workbook</t>
  </si>
  <si>
    <t>This is raw supply chain order data — 200 rows, 14 columns.</t>
  </si>
  <si>
    <t>It intentionally has NO formulas or pivot tables yet — you'll build those yourself, step by step.</t>
  </si>
  <si>
    <t>Columns explained:</t>
  </si>
  <si>
    <t>- QuantityOrdered: units ordered in that transaction</t>
  </si>
  <si>
    <t>- UnitCost: what you pay the supplier per unit</t>
  </si>
  <si>
    <t>- UnitPrice: what you sell it for</t>
  </si>
  <si>
    <t>- LeadTimeDays: days between order and delivery</t>
  </si>
  <si>
    <t>- StockOnHand: current inventory level for that SKU at time of order</t>
  </si>
  <si>
    <t>- ReorderPoint: inventory level that should trigger a reorder</t>
  </si>
  <si>
    <t>- DeliveryStatus: whether the supplier delivered on-time or late</t>
  </si>
  <si>
    <t>We'll work through this sheet in stages: basic formulas, pivot tables, XLOOKUP,</t>
  </si>
  <si>
    <t>conditional formatting, and finally a dashboard tying it all together.</t>
  </si>
  <si>
    <t>total units ordered</t>
  </si>
  <si>
    <t>average lead time</t>
  </si>
  <si>
    <t>how many orders were late</t>
  </si>
  <si>
    <t>StockStatus</t>
  </si>
  <si>
    <t>Row Labels</t>
  </si>
  <si>
    <t>Grand Total</t>
  </si>
  <si>
    <t>Column Labels</t>
  </si>
  <si>
    <t>Count of StockStatus</t>
  </si>
  <si>
    <t>Reorder Now</t>
  </si>
  <si>
    <t>ReliabilityScore</t>
  </si>
  <si>
    <t>AvgLeadTimeDays</t>
  </si>
  <si>
    <t>PreferredStatus</t>
  </si>
  <si>
    <t>Preferred</t>
  </si>
  <si>
    <t>Standard</t>
  </si>
  <si>
    <t>Total Orders</t>
  </si>
  <si>
    <t>Late Delivery Rate</t>
  </si>
  <si>
    <t>At Risk SKUs (Reorder Now)</t>
  </si>
  <si>
    <t>Count of DeliveryStatus</t>
  </si>
  <si>
    <t>Key Insights</t>
  </si>
  <si>
    <t>Standard suppliers have a lower late-delivery rate (13%) than Preferred suppliers (23%). The "Preferred" label may not reflect actual performance.</t>
  </si>
  <si>
    <t>Electronics and Apparel account for ~66% of reorder-risk SKUs — inventory attention should focus there.</t>
  </si>
  <si>
    <t>18% of all orders (36/200) were delivered 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</si>
</sst>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/>
    <xf numFmtId="0" fontId="5" fillId="3" borderId="0" xfId="0" applyFont="1" applyFill="1"/>
    <xf numFmtId="0" fontId="4" fillId="3" borderId="0" xfId="0" applyFont="1" applyFill="1"/>
  </cellXfs>
  <cellStyles count="2">
    <cellStyle name="Normal" xfId="0" builtinId="0"/>
    <cellStyle name="Percent" xfId="1" builtinId="5"/>
  </cellStyles>
  <dxfs count="1"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[supply_chain_practice.xlsx]Pivot table1!PivotTable2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Reorder</a:t>
            </a:r>
            <a:r>
              <a:rPr lang="en-US" sz="1100" baseline="0"/>
              <a:t> risk by Category and Warehouse</a:t>
            </a:r>
            <a:endParaRPr lang="en-US" sz="1100"/>
          </a:p>
        </c:rich>
      </c:tx>
      <c:layout>
        <c:manualLayout>
          <c:xMode val="edge"/>
          <c:yMode val="edge"/>
          <c:x val="0.1378423956847914"/>
          <c:y val="0.2625882139372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table1'!$B$3:$B$4</c:f>
              <c:strCache>
                <c:ptCount val="1"/>
                <c:pt idx="0">
                  <c:v>WH-Islamabad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table1'!$A$5:$A$10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Goods</c:v>
                </c:pt>
                <c:pt idx="4">
                  <c:v>Sports</c:v>
                </c:pt>
              </c:strCache>
            </c:strRef>
          </c:cat>
          <c:val>
            <c:numRef>
              <c:f>'Pivot table1'!$B$5:$B$10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9-4ACF-A6ED-BF8A665311CA}"/>
            </c:ext>
          </c:extLst>
        </c:ser>
        <c:ser>
          <c:idx val="1"/>
          <c:order val="1"/>
          <c:tx>
            <c:strRef>
              <c:f>'Pivot table1'!$C$3:$C$4</c:f>
              <c:strCache>
                <c:ptCount val="1"/>
                <c:pt idx="0">
                  <c:v>WH-Karachi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table1'!$A$5:$A$10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Goods</c:v>
                </c:pt>
                <c:pt idx="4">
                  <c:v>Sports</c:v>
                </c:pt>
              </c:strCache>
            </c:strRef>
          </c:cat>
          <c:val>
            <c:numRef>
              <c:f>'Pivot table1'!$C$5:$C$10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9-4ACF-A6ED-BF8A665311CA}"/>
            </c:ext>
          </c:extLst>
        </c:ser>
        <c:ser>
          <c:idx val="2"/>
          <c:order val="2"/>
          <c:tx>
            <c:strRef>
              <c:f>'Pivot table1'!$D$3:$D$4</c:f>
              <c:strCache>
                <c:ptCount val="1"/>
                <c:pt idx="0">
                  <c:v>WH-Lahore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table1'!$A$5:$A$10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Goods</c:v>
                </c:pt>
                <c:pt idx="4">
                  <c:v>Sports</c:v>
                </c:pt>
              </c:strCache>
            </c:strRef>
          </c:cat>
          <c:val>
            <c:numRef>
              <c:f>'Pivot table1'!$D$5:$D$10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9-4ACF-A6ED-BF8A66531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0570328"/>
        <c:axId val="539793728"/>
      </c:barChart>
      <c:catAx>
        <c:axId val="35057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93728"/>
        <c:crosses val="autoZero"/>
        <c:auto val="1"/>
        <c:lblAlgn val="ctr"/>
        <c:lblOffset val="100"/>
        <c:noMultiLvlLbl val="0"/>
      </c:catAx>
      <c:valAx>
        <c:axId val="53979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57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[supply_chain_practice.xlsx]Pivot table2!PivotTable3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Delivery</a:t>
            </a:r>
            <a:r>
              <a:rPr lang="en-US" sz="1100" baseline="0"/>
              <a:t> performance by Supplier Status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table2'!$B$3:$B$4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table2'!$A$5:$A$7</c:f>
              <c:strCache>
                <c:ptCount val="2"/>
                <c:pt idx="0">
                  <c:v>Preferred</c:v>
                </c:pt>
                <c:pt idx="1">
                  <c:v>Standard</c:v>
                </c:pt>
              </c:strCache>
            </c:strRef>
          </c:cat>
          <c:val>
            <c:numRef>
              <c:f>'Pivot table2'!$B$5:$B$7</c:f>
              <c:numCache>
                <c:formatCode>General</c:formatCode>
                <c:ptCount val="2"/>
                <c:pt idx="0">
                  <c:v>22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3-48A2-BE95-9CF681E01B84}"/>
            </c:ext>
          </c:extLst>
        </c:ser>
        <c:ser>
          <c:idx val="1"/>
          <c:order val="1"/>
          <c:tx>
            <c:strRef>
              <c:f>'Pivot table2'!$C$3:$C$4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table2'!$A$5:$A$7</c:f>
              <c:strCache>
                <c:ptCount val="2"/>
                <c:pt idx="0">
                  <c:v>Preferred</c:v>
                </c:pt>
                <c:pt idx="1">
                  <c:v>Standard</c:v>
                </c:pt>
              </c:strCache>
            </c:strRef>
          </c:cat>
          <c:val>
            <c:numRef>
              <c:f>'Pivot table2'!$C$5:$C$7</c:f>
              <c:numCache>
                <c:formatCode>General</c:formatCode>
                <c:ptCount val="2"/>
                <c:pt idx="0">
                  <c:v>72</c:v>
                </c:pt>
                <c:pt idx="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3-48A2-BE95-9CF681E0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582088"/>
        <c:axId val="609582744"/>
      </c:barChart>
      <c:catAx>
        <c:axId val="60958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82744"/>
        <c:crosses val="autoZero"/>
        <c:auto val="1"/>
        <c:lblAlgn val="ctr"/>
        <c:lblOffset val="100"/>
        <c:noMultiLvlLbl val="0"/>
      </c:catAx>
      <c:valAx>
        <c:axId val="60958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58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165100</xdr:rowOff>
    </xdr:from>
    <xdr:to>
      <xdr:col>2</xdr:col>
      <xdr:colOff>1778000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4329AB-4558-4107-A363-A8590B215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11</xdr:col>
      <xdr:colOff>279400</xdr:colOff>
      <xdr:row>18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D8E8C-178F-4E1B-A507-446330AC7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1.708448495374" createdVersion="6" refreshedVersion="6" minRefreshableVersion="3" recordCount="200" xr:uid="{85503569-2749-4E85-A602-BEF40521BEC2}">
  <cacheSource type="worksheet">
    <worksheetSource ref="A1:O201" sheet="Raw_Data"/>
  </cacheSource>
  <cacheFields count="15">
    <cacheField name="OrderID" numFmtId="0">
      <sharedItems containsSemiMixedTypes="0" containsString="0" containsNumber="1" containsInteger="1" minValue="1" maxValue="200"/>
    </cacheField>
    <cacheField name="OrderDate" numFmtId="0">
      <sharedItems/>
    </cacheField>
    <cacheField name="SKU" numFmtId="0">
      <sharedItems/>
    </cacheField>
    <cacheField name="ProductCategory" numFmtId="0">
      <sharedItems count="5">
        <s v="Furniture"/>
        <s v="Electronics"/>
        <s v="Apparel"/>
        <s v="Sports"/>
        <s v="Home Goods"/>
      </sharedItems>
    </cacheField>
    <cacheField name="Warehouse" numFmtId="0">
      <sharedItems count="3">
        <s v="WH-Islamabad"/>
        <s v="WH-Lahore"/>
        <s v="WH-Karachi"/>
      </sharedItems>
    </cacheField>
    <cacheField name="Region" numFmtId="0">
      <sharedItems/>
    </cacheField>
    <cacheField name="Supplier" numFmtId="0">
      <sharedItems/>
    </cacheField>
    <cacheField name="QuantityOrdered" numFmtId="0">
      <sharedItems containsSemiMixedTypes="0" containsString="0" containsNumber="1" containsInteger="1" minValue="5" maxValue="300"/>
    </cacheField>
    <cacheField name="UnitCost" numFmtId="0">
      <sharedItems containsSemiMixedTypes="0" containsString="0" containsNumber="1" minValue="6.27" maxValue="194.76"/>
    </cacheField>
    <cacheField name="UnitPrice" numFmtId="0">
      <sharedItems containsSemiMixedTypes="0" containsString="0" containsNumber="1" minValue="9.36" maxValue="341.41"/>
    </cacheField>
    <cacheField name="LeadTimeDays" numFmtId="0">
      <sharedItems containsSemiMixedTypes="0" containsString="0" containsNumber="1" containsInteger="1" minValue="2" maxValue="21"/>
    </cacheField>
    <cacheField name="StockOnHand" numFmtId="0">
      <sharedItems containsSemiMixedTypes="0" containsString="0" containsNumber="1" containsInteger="1" minValue="2" maxValue="499"/>
    </cacheField>
    <cacheField name="ReorderPoint" numFmtId="0">
      <sharedItems containsSemiMixedTypes="0" containsString="0" containsNumber="1" containsInteger="1" minValue="20" maxValue="150"/>
    </cacheField>
    <cacheField name="DeliveryStatus" numFmtId="0">
      <sharedItems/>
    </cacheField>
    <cacheField name="StockStatus" numFmtId="0">
      <sharedItems count="2">
        <s v="Ok"/>
        <s v="Reorder N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1.930062847219" createdVersion="6" refreshedVersion="6" minRefreshableVersion="3" recordCount="200" xr:uid="{B0413690-5B66-4FFB-9525-93BBB77FC6FE}">
  <cacheSource type="worksheet">
    <worksheetSource ref="A1:Q201" sheet="Raw_Data"/>
  </cacheSource>
  <cacheFields count="17">
    <cacheField name="OrderID" numFmtId="0">
      <sharedItems containsSemiMixedTypes="0" containsString="0" containsNumber="1" containsInteger="1" minValue="1" maxValue="200"/>
    </cacheField>
    <cacheField name="OrderDate" numFmtId="0">
      <sharedItems/>
    </cacheField>
    <cacheField name="SKU" numFmtId="0">
      <sharedItems/>
    </cacheField>
    <cacheField name="ProductCategory" numFmtId="0">
      <sharedItems/>
    </cacheField>
    <cacheField name="Warehouse" numFmtId="0">
      <sharedItems/>
    </cacheField>
    <cacheField name="Region" numFmtId="0">
      <sharedItems/>
    </cacheField>
    <cacheField name="Supplier" numFmtId="0">
      <sharedItems/>
    </cacheField>
    <cacheField name="QuantityOrdered" numFmtId="0">
      <sharedItems containsSemiMixedTypes="0" containsString="0" containsNumber="1" containsInteger="1" minValue="5" maxValue="300"/>
    </cacheField>
    <cacheField name="UnitCost" numFmtId="0">
      <sharedItems containsSemiMixedTypes="0" containsString="0" containsNumber="1" minValue="6.27" maxValue="194.76"/>
    </cacheField>
    <cacheField name="UnitPrice" numFmtId="0">
      <sharedItems containsSemiMixedTypes="0" containsString="0" containsNumber="1" minValue="9.36" maxValue="341.41"/>
    </cacheField>
    <cacheField name="LeadTimeDays" numFmtId="0">
      <sharedItems containsSemiMixedTypes="0" containsString="0" containsNumber="1" containsInteger="1" minValue="2" maxValue="21"/>
    </cacheField>
    <cacheField name="StockOnHand" numFmtId="0">
      <sharedItems containsSemiMixedTypes="0" containsString="0" containsNumber="1" containsInteger="1" minValue="2" maxValue="499"/>
    </cacheField>
    <cacheField name="ReorderPoint" numFmtId="0">
      <sharedItems containsSemiMixedTypes="0" containsString="0" containsNumber="1" containsInteger="1" minValue="20" maxValue="150"/>
    </cacheField>
    <cacheField name="DeliveryStatus" numFmtId="0">
      <sharedItems count="2">
        <s v="On-Time"/>
        <s v="Late"/>
      </sharedItems>
    </cacheField>
    <cacheField name="StockStatus" numFmtId="0">
      <sharedItems/>
    </cacheField>
    <cacheField name="ReliabilityScore" numFmtId="0">
      <sharedItems containsSemiMixedTypes="0" containsString="0" containsNumber="1" containsInteger="1" minValue="65" maxValue="92"/>
    </cacheField>
    <cacheField name="PreferredStatus" numFmtId="0">
      <sharedItems count="2">
        <s v="Standard"/>
        <s v="Prefer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2025-07-14"/>
    <s v="SKU-1007"/>
    <x v="0"/>
    <x v="0"/>
    <s v="North"/>
    <s v="Beta Supply Co"/>
    <n v="45"/>
    <n v="191.66"/>
    <n v="323.24"/>
    <n v="9"/>
    <n v="443"/>
    <n v="45"/>
    <s v="On-Time"/>
    <x v="0"/>
  </r>
  <r>
    <n v="2"/>
    <s v="2025-05-06"/>
    <s v="SKU-1011"/>
    <x v="1"/>
    <x v="1"/>
    <s v="North"/>
    <s v="Beta Supply Co"/>
    <n v="141"/>
    <n v="170.26"/>
    <n v="251.58"/>
    <n v="4"/>
    <n v="311"/>
    <n v="63"/>
    <s v="On-Time"/>
    <x v="0"/>
  </r>
  <r>
    <n v="3"/>
    <s v="2025-06-11"/>
    <s v="SKU-1021"/>
    <x v="0"/>
    <x v="2"/>
    <s v="South"/>
    <s v="Gamma Logistics"/>
    <n v="33"/>
    <n v="173.03"/>
    <n v="252.99"/>
    <n v="9"/>
    <n v="420"/>
    <n v="28"/>
    <s v="On-Time"/>
    <x v="0"/>
  </r>
  <r>
    <n v="4"/>
    <s v="2025-03-13"/>
    <s v="SKU-1006"/>
    <x v="1"/>
    <x v="0"/>
    <s v="Central"/>
    <s v="Gamma Logistics"/>
    <n v="207"/>
    <n v="35.32"/>
    <n v="57.49"/>
    <n v="16"/>
    <n v="73"/>
    <n v="87"/>
    <s v="On-Time"/>
    <x v="1"/>
  </r>
  <r>
    <n v="5"/>
    <s v="2025-09-18"/>
    <s v="SKU-1023"/>
    <x v="2"/>
    <x v="2"/>
    <s v="South"/>
    <s v="Beta Supply Co"/>
    <n v="209"/>
    <n v="142.38999999999999"/>
    <n v="226.73"/>
    <n v="13"/>
    <n v="112"/>
    <n v="55"/>
    <s v="On-Time"/>
    <x v="0"/>
  </r>
  <r>
    <n v="6"/>
    <s v="2025-07-15"/>
    <s v="SKU-1020"/>
    <x v="2"/>
    <x v="1"/>
    <s v="Central"/>
    <s v="Gamma Logistics"/>
    <n v="221"/>
    <n v="125.61"/>
    <n v="173.34"/>
    <n v="21"/>
    <n v="32"/>
    <n v="118"/>
    <s v="On-Time"/>
    <x v="1"/>
  </r>
  <r>
    <n v="7"/>
    <s v="2025-06-24"/>
    <s v="SKU-1017"/>
    <x v="0"/>
    <x v="1"/>
    <s v="South"/>
    <s v="Delta Sourcing"/>
    <n v="10"/>
    <n v="78.81"/>
    <n v="136.37"/>
    <n v="5"/>
    <n v="349"/>
    <n v="88"/>
    <s v="On-Time"/>
    <x v="0"/>
  </r>
  <r>
    <n v="8"/>
    <s v="2025-09-17"/>
    <s v="SKU-1000"/>
    <x v="1"/>
    <x v="0"/>
    <s v="North"/>
    <s v="Beta Supply Co"/>
    <n v="139"/>
    <n v="119.91"/>
    <n v="213.07"/>
    <n v="18"/>
    <n v="390"/>
    <n v="65"/>
    <s v="Late"/>
    <x v="0"/>
  </r>
  <r>
    <n v="9"/>
    <s v="2025-06-15"/>
    <s v="SKU-1004"/>
    <x v="2"/>
    <x v="2"/>
    <s v="North"/>
    <s v="Gamma Logistics"/>
    <n v="87"/>
    <n v="141.13999999999999"/>
    <n v="209.87"/>
    <n v="19"/>
    <n v="488"/>
    <n v="20"/>
    <s v="On-Time"/>
    <x v="0"/>
  </r>
  <r>
    <n v="10"/>
    <s v="2025-02-05"/>
    <s v="SKU-1007"/>
    <x v="0"/>
    <x v="0"/>
    <s v="South"/>
    <s v="Beta Supply Co"/>
    <n v="295"/>
    <n v="191.66"/>
    <n v="254.71"/>
    <n v="4"/>
    <n v="43"/>
    <n v="144"/>
    <s v="Late"/>
    <x v="1"/>
  </r>
  <r>
    <n v="11"/>
    <s v="2025-04-19"/>
    <s v="SKU-1021"/>
    <x v="0"/>
    <x v="0"/>
    <s v="Central"/>
    <s v="Beta Supply Co"/>
    <n v="286"/>
    <n v="173.03"/>
    <n v="266.06"/>
    <n v="7"/>
    <n v="135"/>
    <n v="128"/>
    <s v="Late"/>
    <x v="0"/>
  </r>
  <r>
    <n v="12"/>
    <s v="2025-03-03"/>
    <s v="SKU-1022"/>
    <x v="3"/>
    <x v="2"/>
    <s v="North"/>
    <s v="Alpha Traders"/>
    <n v="196"/>
    <n v="117.58"/>
    <n v="171.18"/>
    <n v="16"/>
    <n v="460"/>
    <n v="135"/>
    <s v="On-Time"/>
    <x v="0"/>
  </r>
  <r>
    <n v="13"/>
    <s v="2025-04-28"/>
    <s v="SKU-1018"/>
    <x v="1"/>
    <x v="2"/>
    <s v="North"/>
    <s v="Alpha Traders"/>
    <n v="117"/>
    <n v="112.65"/>
    <n v="177.64"/>
    <n v="2"/>
    <n v="36"/>
    <n v="35"/>
    <s v="On-Time"/>
    <x v="0"/>
  </r>
  <r>
    <n v="14"/>
    <s v="2025-08-31"/>
    <s v="SKU-1016"/>
    <x v="0"/>
    <x v="1"/>
    <s v="North"/>
    <s v="Beta Supply Co"/>
    <n v="253"/>
    <n v="194.76"/>
    <n v="276.36"/>
    <n v="8"/>
    <n v="276"/>
    <n v="53"/>
    <s v="On-Time"/>
    <x v="0"/>
  </r>
  <r>
    <n v="15"/>
    <s v="2025-08-28"/>
    <s v="SKU-1003"/>
    <x v="2"/>
    <x v="2"/>
    <s v="Central"/>
    <s v="Alpha Traders"/>
    <n v="225"/>
    <n v="162.13"/>
    <n v="218.63"/>
    <n v="13"/>
    <n v="216"/>
    <n v="125"/>
    <s v="Late"/>
    <x v="0"/>
  </r>
  <r>
    <n v="16"/>
    <s v="2025-04-08"/>
    <s v="SKU-1001"/>
    <x v="1"/>
    <x v="2"/>
    <s v="North"/>
    <s v="Beta Supply Co"/>
    <n v="178"/>
    <n v="162.84"/>
    <n v="244.47"/>
    <n v="5"/>
    <n v="127"/>
    <n v="69"/>
    <s v="On-Time"/>
    <x v="0"/>
  </r>
  <r>
    <n v="17"/>
    <s v="2025-01-26"/>
    <s v="SKU-1008"/>
    <x v="1"/>
    <x v="0"/>
    <s v="South"/>
    <s v="Alpha Traders"/>
    <n v="43"/>
    <n v="70.64"/>
    <n v="108.17"/>
    <n v="16"/>
    <n v="413"/>
    <n v="45"/>
    <s v="On-Time"/>
    <x v="0"/>
  </r>
  <r>
    <n v="18"/>
    <s v="2025-04-20"/>
    <s v="SKU-1024"/>
    <x v="3"/>
    <x v="2"/>
    <s v="South"/>
    <s v="Delta Sourcing"/>
    <n v="90"/>
    <n v="13.94"/>
    <n v="24.04"/>
    <n v="15"/>
    <n v="248"/>
    <n v="143"/>
    <s v="Late"/>
    <x v="0"/>
  </r>
  <r>
    <n v="19"/>
    <s v="2025-09-07"/>
    <s v="SKU-1000"/>
    <x v="1"/>
    <x v="1"/>
    <s v="South"/>
    <s v="Alpha Traders"/>
    <n v="140"/>
    <n v="119.91"/>
    <n v="214.96"/>
    <n v="16"/>
    <n v="146"/>
    <n v="128"/>
    <s v="On-Time"/>
    <x v="0"/>
  </r>
  <r>
    <n v="20"/>
    <s v="2025-09-02"/>
    <s v="SKU-1018"/>
    <x v="1"/>
    <x v="0"/>
    <s v="South"/>
    <s v="Alpha Traders"/>
    <n v="36"/>
    <n v="112.65"/>
    <n v="187.89"/>
    <n v="12"/>
    <n v="29"/>
    <n v="32"/>
    <s v="On-Time"/>
    <x v="1"/>
  </r>
  <r>
    <n v="21"/>
    <s v="2025-05-01"/>
    <s v="SKU-1016"/>
    <x v="0"/>
    <x v="0"/>
    <s v="South"/>
    <s v="Alpha Traders"/>
    <n v="100"/>
    <n v="194.76"/>
    <n v="260.99"/>
    <n v="4"/>
    <n v="304"/>
    <n v="37"/>
    <s v="On-Time"/>
    <x v="0"/>
  </r>
  <r>
    <n v="22"/>
    <s v="2025-04-15"/>
    <s v="SKU-1019"/>
    <x v="0"/>
    <x v="1"/>
    <s v="South"/>
    <s v="Gamma Logistics"/>
    <n v="294"/>
    <n v="166.73"/>
    <n v="223.58"/>
    <n v="18"/>
    <n v="161"/>
    <n v="86"/>
    <s v="On-Time"/>
    <x v="0"/>
  </r>
  <r>
    <n v="23"/>
    <s v="2025-01-05"/>
    <s v="SKU-1012"/>
    <x v="1"/>
    <x v="0"/>
    <s v="South"/>
    <s v="Alpha Traders"/>
    <n v="158"/>
    <n v="122.73"/>
    <n v="167.58"/>
    <n v="16"/>
    <n v="161"/>
    <n v="38"/>
    <s v="On-Time"/>
    <x v="0"/>
  </r>
  <r>
    <n v="24"/>
    <s v="2025-02-05"/>
    <s v="SKU-1017"/>
    <x v="0"/>
    <x v="1"/>
    <s v="North"/>
    <s v="Beta Supply Co"/>
    <n v="140"/>
    <n v="78.81"/>
    <n v="110.85"/>
    <n v="6"/>
    <n v="477"/>
    <n v="109"/>
    <s v="Late"/>
    <x v="0"/>
  </r>
  <r>
    <n v="25"/>
    <s v="2025-06-03"/>
    <s v="SKU-1014"/>
    <x v="2"/>
    <x v="2"/>
    <s v="South"/>
    <s v="Gamma Logistics"/>
    <n v="159"/>
    <n v="147.30000000000001"/>
    <n v="252.9"/>
    <n v="21"/>
    <n v="413"/>
    <n v="22"/>
    <s v="Late"/>
    <x v="0"/>
  </r>
  <r>
    <n v="26"/>
    <s v="2025-04-18"/>
    <s v="SKU-1003"/>
    <x v="2"/>
    <x v="2"/>
    <s v="Central"/>
    <s v="Gamma Logistics"/>
    <n v="288"/>
    <n v="162.13"/>
    <n v="282.89"/>
    <n v="6"/>
    <n v="139"/>
    <n v="92"/>
    <s v="On-Time"/>
    <x v="0"/>
  </r>
  <r>
    <n v="27"/>
    <s v="2025-05-22"/>
    <s v="SKU-1016"/>
    <x v="0"/>
    <x v="1"/>
    <s v="South"/>
    <s v="Gamma Logistics"/>
    <n v="31"/>
    <n v="194.76"/>
    <n v="300.76"/>
    <n v="4"/>
    <n v="324"/>
    <n v="128"/>
    <s v="On-Time"/>
    <x v="0"/>
  </r>
  <r>
    <n v="28"/>
    <s v="2025-02-27"/>
    <s v="SKU-1005"/>
    <x v="2"/>
    <x v="0"/>
    <s v="South"/>
    <s v="Alpha Traders"/>
    <n v="287"/>
    <n v="71.349999999999994"/>
    <n v="119.2"/>
    <n v="15"/>
    <n v="287"/>
    <n v="22"/>
    <s v="On-Time"/>
    <x v="0"/>
  </r>
  <r>
    <n v="29"/>
    <s v="2025-06-07"/>
    <s v="SKU-1011"/>
    <x v="1"/>
    <x v="2"/>
    <s v="North"/>
    <s v="Beta Supply Co"/>
    <n v="80"/>
    <n v="170.26"/>
    <n v="270.93"/>
    <n v="15"/>
    <n v="65"/>
    <n v="30"/>
    <s v="On-Time"/>
    <x v="0"/>
  </r>
  <r>
    <n v="30"/>
    <s v="2025-03-21"/>
    <s v="SKU-1021"/>
    <x v="0"/>
    <x v="2"/>
    <s v="South"/>
    <s v="Beta Supply Co"/>
    <n v="57"/>
    <n v="173.03"/>
    <n v="246.53"/>
    <n v="13"/>
    <n v="399"/>
    <n v="124"/>
    <s v="Late"/>
    <x v="0"/>
  </r>
  <r>
    <n v="31"/>
    <s v="2025-05-17"/>
    <s v="SKU-1013"/>
    <x v="1"/>
    <x v="0"/>
    <s v="South"/>
    <s v="Delta Sourcing"/>
    <n v="175"/>
    <n v="162.38999999999999"/>
    <n v="213.12"/>
    <n v="15"/>
    <n v="410"/>
    <n v="83"/>
    <s v="On-Time"/>
    <x v="0"/>
  </r>
  <r>
    <n v="32"/>
    <s v="2025-06-29"/>
    <s v="SKU-1001"/>
    <x v="1"/>
    <x v="2"/>
    <s v="South"/>
    <s v="Alpha Traders"/>
    <n v="118"/>
    <n v="162.84"/>
    <n v="281.60000000000002"/>
    <n v="8"/>
    <n v="418"/>
    <n v="137"/>
    <s v="On-Time"/>
    <x v="0"/>
  </r>
  <r>
    <n v="33"/>
    <s v="2025-05-23"/>
    <s v="SKU-1021"/>
    <x v="0"/>
    <x v="0"/>
    <s v="North"/>
    <s v="Gamma Logistics"/>
    <n v="173"/>
    <n v="173.03"/>
    <n v="241.65"/>
    <n v="10"/>
    <n v="442"/>
    <n v="37"/>
    <s v="On-Time"/>
    <x v="0"/>
  </r>
  <r>
    <n v="34"/>
    <s v="2025-01-20"/>
    <s v="SKU-1000"/>
    <x v="1"/>
    <x v="1"/>
    <s v="North"/>
    <s v="Gamma Logistics"/>
    <n v="138"/>
    <n v="119.91"/>
    <n v="162.80000000000001"/>
    <n v="7"/>
    <n v="297"/>
    <n v="87"/>
    <s v="On-Time"/>
    <x v="0"/>
  </r>
  <r>
    <n v="35"/>
    <s v="2025-05-11"/>
    <s v="SKU-1013"/>
    <x v="1"/>
    <x v="1"/>
    <s v="South"/>
    <s v="Beta Supply Co"/>
    <n v="266"/>
    <n v="162.38999999999999"/>
    <n v="260.33"/>
    <n v="5"/>
    <n v="197"/>
    <n v="68"/>
    <s v="On-Time"/>
    <x v="0"/>
  </r>
  <r>
    <n v="36"/>
    <s v="2025-06-03"/>
    <s v="SKU-1011"/>
    <x v="1"/>
    <x v="0"/>
    <s v="North"/>
    <s v="Gamma Logistics"/>
    <n v="174"/>
    <n v="170.26"/>
    <n v="258.05"/>
    <n v="21"/>
    <n v="160"/>
    <n v="51"/>
    <s v="On-Time"/>
    <x v="0"/>
  </r>
  <r>
    <n v="37"/>
    <s v="2025-07-14"/>
    <s v="SKU-1012"/>
    <x v="1"/>
    <x v="2"/>
    <s v="Central"/>
    <s v="Gamma Logistics"/>
    <n v="288"/>
    <n v="122.73"/>
    <n v="202.33"/>
    <n v="6"/>
    <n v="98"/>
    <n v="127"/>
    <s v="On-Time"/>
    <x v="1"/>
  </r>
  <r>
    <n v="38"/>
    <s v="2025-08-09"/>
    <s v="SKU-1012"/>
    <x v="1"/>
    <x v="0"/>
    <s v="Central"/>
    <s v="Gamma Logistics"/>
    <n v="5"/>
    <n v="122.73"/>
    <n v="193.17"/>
    <n v="11"/>
    <n v="146"/>
    <n v="73"/>
    <s v="Late"/>
    <x v="0"/>
  </r>
  <r>
    <n v="39"/>
    <s v="2025-02-13"/>
    <s v="SKU-1014"/>
    <x v="2"/>
    <x v="0"/>
    <s v="Central"/>
    <s v="Gamma Logistics"/>
    <n v="114"/>
    <n v="147.30000000000001"/>
    <n v="224.03"/>
    <n v="18"/>
    <n v="242"/>
    <n v="63"/>
    <s v="On-Time"/>
    <x v="0"/>
  </r>
  <r>
    <n v="40"/>
    <s v="2025-03-17"/>
    <s v="SKU-1002"/>
    <x v="4"/>
    <x v="2"/>
    <s v="North"/>
    <s v="Alpha Traders"/>
    <n v="125"/>
    <n v="6.27"/>
    <n v="10.72"/>
    <n v="11"/>
    <n v="115"/>
    <n v="70"/>
    <s v="On-Time"/>
    <x v="0"/>
  </r>
  <r>
    <n v="41"/>
    <s v="2025-09-11"/>
    <s v="SKU-1014"/>
    <x v="2"/>
    <x v="2"/>
    <s v="Central"/>
    <s v="Alpha Traders"/>
    <n v="299"/>
    <n v="147.30000000000001"/>
    <n v="222.01"/>
    <n v="8"/>
    <n v="367"/>
    <n v="118"/>
    <s v="On-Time"/>
    <x v="0"/>
  </r>
  <r>
    <n v="42"/>
    <s v="2025-09-23"/>
    <s v="SKU-1024"/>
    <x v="3"/>
    <x v="0"/>
    <s v="South"/>
    <s v="Alpha Traders"/>
    <n v="59"/>
    <n v="13.94"/>
    <n v="24.12"/>
    <n v="15"/>
    <n v="112"/>
    <n v="65"/>
    <s v="On-Time"/>
    <x v="0"/>
  </r>
  <r>
    <n v="43"/>
    <s v="2025-08-15"/>
    <s v="SKU-1014"/>
    <x v="2"/>
    <x v="0"/>
    <s v="Central"/>
    <s v="Delta Sourcing"/>
    <n v="242"/>
    <n v="147.30000000000001"/>
    <n v="201.31"/>
    <n v="18"/>
    <n v="286"/>
    <n v="101"/>
    <s v="On-Time"/>
    <x v="0"/>
  </r>
  <r>
    <n v="44"/>
    <s v="2025-05-07"/>
    <s v="SKU-1017"/>
    <x v="0"/>
    <x v="1"/>
    <s v="Central"/>
    <s v="Delta Sourcing"/>
    <n v="86"/>
    <n v="78.81"/>
    <n v="120.02"/>
    <n v="17"/>
    <n v="230"/>
    <n v="86"/>
    <s v="Late"/>
    <x v="0"/>
  </r>
  <r>
    <n v="45"/>
    <s v="2025-05-01"/>
    <s v="SKU-1020"/>
    <x v="2"/>
    <x v="1"/>
    <s v="Central"/>
    <s v="Alpha Traders"/>
    <n v="230"/>
    <n v="125.61"/>
    <n v="178.32"/>
    <n v="4"/>
    <n v="365"/>
    <n v="93"/>
    <s v="On-Time"/>
    <x v="0"/>
  </r>
  <r>
    <n v="46"/>
    <s v="2025-02-02"/>
    <s v="SKU-1004"/>
    <x v="2"/>
    <x v="1"/>
    <s v="Central"/>
    <s v="Delta Sourcing"/>
    <n v="201"/>
    <n v="141.13999999999999"/>
    <n v="194.13"/>
    <n v="6"/>
    <n v="361"/>
    <n v="74"/>
    <s v="On-Time"/>
    <x v="0"/>
  </r>
  <r>
    <n v="47"/>
    <s v="2025-07-14"/>
    <s v="SKU-1013"/>
    <x v="1"/>
    <x v="1"/>
    <s v="North"/>
    <s v="Delta Sourcing"/>
    <n v="220"/>
    <n v="162.38999999999999"/>
    <n v="216.16"/>
    <n v="14"/>
    <n v="463"/>
    <n v="25"/>
    <s v="On-Time"/>
    <x v="0"/>
  </r>
  <r>
    <n v="48"/>
    <s v="2025-09-07"/>
    <s v="SKU-1013"/>
    <x v="1"/>
    <x v="1"/>
    <s v="North"/>
    <s v="Alpha Traders"/>
    <n v="284"/>
    <n v="162.38999999999999"/>
    <n v="254.81"/>
    <n v="21"/>
    <n v="459"/>
    <n v="76"/>
    <s v="On-Time"/>
    <x v="0"/>
  </r>
  <r>
    <n v="49"/>
    <s v="2025-03-07"/>
    <s v="SKU-1012"/>
    <x v="1"/>
    <x v="0"/>
    <s v="South"/>
    <s v="Delta Sourcing"/>
    <n v="212"/>
    <n v="122.73"/>
    <n v="180.18"/>
    <n v="7"/>
    <n v="430"/>
    <n v="139"/>
    <s v="Late"/>
    <x v="0"/>
  </r>
  <r>
    <n v="50"/>
    <s v="2025-03-11"/>
    <s v="SKU-1018"/>
    <x v="1"/>
    <x v="2"/>
    <s v="South"/>
    <s v="Gamma Logistics"/>
    <n v="18"/>
    <n v="112.65"/>
    <n v="178.23"/>
    <n v="4"/>
    <n v="329"/>
    <n v="129"/>
    <s v="Late"/>
    <x v="0"/>
  </r>
  <r>
    <n v="51"/>
    <s v="2025-05-23"/>
    <s v="SKU-1012"/>
    <x v="1"/>
    <x v="1"/>
    <s v="North"/>
    <s v="Alpha Traders"/>
    <n v="237"/>
    <n v="122.73"/>
    <n v="179.64"/>
    <n v="12"/>
    <n v="172"/>
    <n v="117"/>
    <s v="On-Time"/>
    <x v="0"/>
  </r>
  <r>
    <n v="52"/>
    <s v="2025-04-25"/>
    <s v="SKU-1015"/>
    <x v="2"/>
    <x v="0"/>
    <s v="South"/>
    <s v="Alpha Traders"/>
    <n v="281"/>
    <n v="109.56"/>
    <n v="143.49"/>
    <n v="3"/>
    <n v="487"/>
    <n v="109"/>
    <s v="On-Time"/>
    <x v="0"/>
  </r>
  <r>
    <n v="53"/>
    <s v="2025-03-06"/>
    <s v="SKU-1007"/>
    <x v="0"/>
    <x v="2"/>
    <s v="Central"/>
    <s v="Beta Supply Co"/>
    <n v="15"/>
    <n v="191.66"/>
    <n v="268.26"/>
    <n v="21"/>
    <n v="78"/>
    <n v="81"/>
    <s v="On-Time"/>
    <x v="1"/>
  </r>
  <r>
    <n v="54"/>
    <s v="2025-03-25"/>
    <s v="SKU-1014"/>
    <x v="2"/>
    <x v="2"/>
    <s v="Central"/>
    <s v="Alpha Traders"/>
    <n v="193"/>
    <n v="147.30000000000001"/>
    <n v="243.01"/>
    <n v="7"/>
    <n v="310"/>
    <n v="49"/>
    <s v="Late"/>
    <x v="0"/>
  </r>
  <r>
    <n v="55"/>
    <s v="2025-02-08"/>
    <s v="SKU-1009"/>
    <x v="0"/>
    <x v="0"/>
    <s v="South"/>
    <s v="Alpha Traders"/>
    <n v="197"/>
    <n v="23.09"/>
    <n v="36.659999999999997"/>
    <n v="14"/>
    <n v="482"/>
    <n v="70"/>
    <s v="On-Time"/>
    <x v="0"/>
  </r>
  <r>
    <n v="56"/>
    <s v="2025-06-27"/>
    <s v="SKU-1022"/>
    <x v="3"/>
    <x v="0"/>
    <s v="North"/>
    <s v="Alpha Traders"/>
    <n v="66"/>
    <n v="117.58"/>
    <n v="198.27"/>
    <n v="20"/>
    <n v="400"/>
    <n v="30"/>
    <s v="On-Time"/>
    <x v="0"/>
  </r>
  <r>
    <n v="57"/>
    <s v="2025-02-24"/>
    <s v="SKU-1016"/>
    <x v="0"/>
    <x v="1"/>
    <s v="Central"/>
    <s v="Delta Sourcing"/>
    <n v="11"/>
    <n v="194.76"/>
    <n v="316.25"/>
    <n v="15"/>
    <n v="421"/>
    <n v="145"/>
    <s v="On-Time"/>
    <x v="0"/>
  </r>
  <r>
    <n v="58"/>
    <s v="2025-09-05"/>
    <s v="SKU-1022"/>
    <x v="3"/>
    <x v="0"/>
    <s v="Central"/>
    <s v="Gamma Logistics"/>
    <n v="95"/>
    <n v="117.58"/>
    <n v="161.85"/>
    <n v="18"/>
    <n v="494"/>
    <n v="89"/>
    <s v="On-Time"/>
    <x v="0"/>
  </r>
  <r>
    <n v="59"/>
    <s v="2025-05-05"/>
    <s v="SKU-1010"/>
    <x v="3"/>
    <x v="0"/>
    <s v="Central"/>
    <s v="Delta Sourcing"/>
    <n v="49"/>
    <n v="23.86"/>
    <n v="41.18"/>
    <n v="10"/>
    <n v="451"/>
    <n v="135"/>
    <s v="On-Time"/>
    <x v="0"/>
  </r>
  <r>
    <n v="60"/>
    <s v="2025-07-01"/>
    <s v="SKU-1010"/>
    <x v="3"/>
    <x v="1"/>
    <s v="North"/>
    <s v="Gamma Logistics"/>
    <n v="171"/>
    <n v="23.86"/>
    <n v="31.36"/>
    <n v="7"/>
    <n v="249"/>
    <n v="74"/>
    <s v="Late"/>
    <x v="0"/>
  </r>
  <r>
    <n v="61"/>
    <s v="2025-09-08"/>
    <s v="SKU-1017"/>
    <x v="0"/>
    <x v="2"/>
    <s v="Central"/>
    <s v="Delta Sourcing"/>
    <n v="102"/>
    <n v="78.81"/>
    <n v="102.85"/>
    <n v="4"/>
    <n v="123"/>
    <n v="124"/>
    <s v="On-Time"/>
    <x v="1"/>
  </r>
  <r>
    <n v="62"/>
    <s v="2025-04-24"/>
    <s v="SKU-1020"/>
    <x v="2"/>
    <x v="2"/>
    <s v="North"/>
    <s v="Gamma Logistics"/>
    <n v="234"/>
    <n v="125.61"/>
    <n v="208"/>
    <n v="2"/>
    <n v="47"/>
    <n v="95"/>
    <s v="On-Time"/>
    <x v="1"/>
  </r>
  <r>
    <n v="63"/>
    <s v="2025-06-30"/>
    <s v="SKU-1015"/>
    <x v="2"/>
    <x v="1"/>
    <s v="North"/>
    <s v="Gamma Logistics"/>
    <n v="181"/>
    <n v="109.56"/>
    <n v="172.75"/>
    <n v="15"/>
    <n v="381"/>
    <n v="104"/>
    <s v="On-Time"/>
    <x v="0"/>
  </r>
  <r>
    <n v="64"/>
    <s v="2025-04-09"/>
    <s v="SKU-1007"/>
    <x v="0"/>
    <x v="1"/>
    <s v="North"/>
    <s v="Gamma Logistics"/>
    <n v="103"/>
    <n v="191.66"/>
    <n v="260.72000000000003"/>
    <n v="12"/>
    <n v="61"/>
    <n v="67"/>
    <s v="On-Time"/>
    <x v="1"/>
  </r>
  <r>
    <n v="65"/>
    <s v="2025-06-04"/>
    <s v="SKU-1003"/>
    <x v="2"/>
    <x v="0"/>
    <s v="South"/>
    <s v="Gamma Logistics"/>
    <n v="156"/>
    <n v="162.13"/>
    <n v="278.27"/>
    <n v="9"/>
    <n v="184"/>
    <n v="65"/>
    <s v="On-Time"/>
    <x v="0"/>
  </r>
  <r>
    <n v="66"/>
    <s v="2025-09-09"/>
    <s v="SKU-1001"/>
    <x v="1"/>
    <x v="2"/>
    <s v="Central"/>
    <s v="Gamma Logistics"/>
    <n v="288"/>
    <n v="162.84"/>
    <n v="291.02"/>
    <n v="11"/>
    <n v="357"/>
    <n v="52"/>
    <s v="On-Time"/>
    <x v="0"/>
  </r>
  <r>
    <n v="67"/>
    <s v="2025-05-10"/>
    <s v="SKU-1015"/>
    <x v="2"/>
    <x v="1"/>
    <s v="South"/>
    <s v="Alpha Traders"/>
    <n v="179"/>
    <n v="109.56"/>
    <n v="168.65"/>
    <n v="7"/>
    <n v="494"/>
    <n v="33"/>
    <s v="Late"/>
    <x v="0"/>
  </r>
  <r>
    <n v="68"/>
    <s v="2025-06-05"/>
    <s v="SKU-1012"/>
    <x v="1"/>
    <x v="2"/>
    <s v="South"/>
    <s v="Delta Sourcing"/>
    <n v="300"/>
    <n v="122.73"/>
    <n v="189.73"/>
    <n v="3"/>
    <n v="77"/>
    <n v="58"/>
    <s v="On-Time"/>
    <x v="0"/>
  </r>
  <r>
    <n v="69"/>
    <s v="2025-08-15"/>
    <s v="SKU-1019"/>
    <x v="0"/>
    <x v="0"/>
    <s v="North"/>
    <s v="Gamma Logistics"/>
    <n v="120"/>
    <n v="166.73"/>
    <n v="266.45"/>
    <n v="18"/>
    <n v="194"/>
    <n v="135"/>
    <s v="On-Time"/>
    <x v="0"/>
  </r>
  <r>
    <n v="70"/>
    <s v="2025-05-16"/>
    <s v="SKU-1018"/>
    <x v="1"/>
    <x v="2"/>
    <s v="South"/>
    <s v="Beta Supply Co"/>
    <n v="55"/>
    <n v="112.65"/>
    <n v="181.42"/>
    <n v="8"/>
    <n v="320"/>
    <n v="74"/>
    <s v="On-Time"/>
    <x v="0"/>
  </r>
  <r>
    <n v="71"/>
    <s v="2025-05-30"/>
    <s v="SKU-1017"/>
    <x v="0"/>
    <x v="1"/>
    <s v="Central"/>
    <s v="Gamma Logistics"/>
    <n v="6"/>
    <n v="78.81"/>
    <n v="105.41"/>
    <n v="15"/>
    <n v="230"/>
    <n v="140"/>
    <s v="On-Time"/>
    <x v="0"/>
  </r>
  <r>
    <n v="72"/>
    <s v="2025-04-12"/>
    <s v="SKU-1022"/>
    <x v="3"/>
    <x v="0"/>
    <s v="South"/>
    <s v="Beta Supply Co"/>
    <n v="41"/>
    <n v="117.58"/>
    <n v="203.39"/>
    <n v="9"/>
    <n v="473"/>
    <n v="87"/>
    <s v="On-Time"/>
    <x v="0"/>
  </r>
  <r>
    <n v="73"/>
    <s v="2025-05-28"/>
    <s v="SKU-1008"/>
    <x v="1"/>
    <x v="1"/>
    <s v="Central"/>
    <s v="Gamma Logistics"/>
    <n v="41"/>
    <n v="70.64"/>
    <n v="121.03"/>
    <n v="3"/>
    <n v="84"/>
    <n v="98"/>
    <s v="On-Time"/>
    <x v="1"/>
  </r>
  <r>
    <n v="74"/>
    <s v="2025-08-13"/>
    <s v="SKU-1022"/>
    <x v="3"/>
    <x v="2"/>
    <s v="North"/>
    <s v="Gamma Logistics"/>
    <n v="144"/>
    <n v="117.58"/>
    <n v="176.52"/>
    <n v="18"/>
    <n v="276"/>
    <n v="146"/>
    <s v="On-Time"/>
    <x v="0"/>
  </r>
  <r>
    <n v="75"/>
    <s v="2025-05-18"/>
    <s v="SKU-1019"/>
    <x v="0"/>
    <x v="2"/>
    <s v="North"/>
    <s v="Delta Sourcing"/>
    <n v="51"/>
    <n v="166.73"/>
    <n v="237.62"/>
    <n v="9"/>
    <n v="492"/>
    <n v="25"/>
    <s v="On-Time"/>
    <x v="0"/>
  </r>
  <r>
    <n v="76"/>
    <s v="2025-08-29"/>
    <s v="SKU-1008"/>
    <x v="1"/>
    <x v="1"/>
    <s v="North"/>
    <s v="Alpha Traders"/>
    <n v="228"/>
    <n v="70.64"/>
    <n v="98.24"/>
    <n v="17"/>
    <n v="496"/>
    <n v="43"/>
    <s v="On-Time"/>
    <x v="0"/>
  </r>
  <r>
    <n v="77"/>
    <s v="2025-01-19"/>
    <s v="SKU-1005"/>
    <x v="2"/>
    <x v="1"/>
    <s v="North"/>
    <s v="Gamma Logistics"/>
    <n v="258"/>
    <n v="71.349999999999994"/>
    <n v="104.52"/>
    <n v="11"/>
    <n v="339"/>
    <n v="122"/>
    <s v="On-Time"/>
    <x v="0"/>
  </r>
  <r>
    <n v="78"/>
    <s v="2025-08-25"/>
    <s v="SKU-1003"/>
    <x v="2"/>
    <x v="2"/>
    <s v="Central"/>
    <s v="Gamma Logistics"/>
    <n v="211"/>
    <n v="162.13"/>
    <n v="289.42"/>
    <n v="18"/>
    <n v="422"/>
    <n v="20"/>
    <s v="On-Time"/>
    <x v="0"/>
  </r>
  <r>
    <n v="79"/>
    <s v="2025-03-09"/>
    <s v="SKU-1019"/>
    <x v="0"/>
    <x v="1"/>
    <s v="Central"/>
    <s v="Delta Sourcing"/>
    <n v="231"/>
    <n v="166.73"/>
    <n v="279.81"/>
    <n v="3"/>
    <n v="104"/>
    <n v="88"/>
    <s v="Late"/>
    <x v="0"/>
  </r>
  <r>
    <n v="80"/>
    <s v="2025-07-28"/>
    <s v="SKU-1003"/>
    <x v="2"/>
    <x v="2"/>
    <s v="North"/>
    <s v="Alpha Traders"/>
    <n v="127"/>
    <n v="162.13"/>
    <n v="213.11"/>
    <n v="7"/>
    <n v="159"/>
    <n v="23"/>
    <s v="On-Time"/>
    <x v="0"/>
  </r>
  <r>
    <n v="81"/>
    <s v="2025-08-01"/>
    <s v="SKU-1020"/>
    <x v="2"/>
    <x v="1"/>
    <s v="South"/>
    <s v="Delta Sourcing"/>
    <n v="260"/>
    <n v="125.61"/>
    <n v="215.56"/>
    <n v="11"/>
    <n v="260"/>
    <n v="89"/>
    <s v="Late"/>
    <x v="0"/>
  </r>
  <r>
    <n v="82"/>
    <s v="2025-02-05"/>
    <s v="SKU-1017"/>
    <x v="0"/>
    <x v="1"/>
    <s v="North"/>
    <s v="Gamma Logistics"/>
    <n v="102"/>
    <n v="78.81"/>
    <n v="108.15"/>
    <n v="21"/>
    <n v="260"/>
    <n v="54"/>
    <s v="On-Time"/>
    <x v="0"/>
  </r>
  <r>
    <n v="83"/>
    <s v="2025-03-18"/>
    <s v="SKU-1000"/>
    <x v="1"/>
    <x v="1"/>
    <s v="North"/>
    <s v="Gamma Logistics"/>
    <n v="157"/>
    <n v="119.91"/>
    <n v="172.84"/>
    <n v="20"/>
    <n v="296"/>
    <n v="145"/>
    <s v="On-Time"/>
    <x v="0"/>
  </r>
  <r>
    <n v="84"/>
    <s v="2025-04-07"/>
    <s v="SKU-1017"/>
    <x v="0"/>
    <x v="2"/>
    <s v="Central"/>
    <s v="Delta Sourcing"/>
    <n v="198"/>
    <n v="78.81"/>
    <n v="132.51"/>
    <n v="16"/>
    <n v="477"/>
    <n v="102"/>
    <s v="Late"/>
    <x v="0"/>
  </r>
  <r>
    <n v="85"/>
    <s v="2025-07-15"/>
    <s v="SKU-1007"/>
    <x v="0"/>
    <x v="0"/>
    <s v="Central"/>
    <s v="Beta Supply Co"/>
    <n v="215"/>
    <n v="191.66"/>
    <n v="331.19"/>
    <n v="3"/>
    <n v="162"/>
    <n v="141"/>
    <s v="On-Time"/>
    <x v="0"/>
  </r>
  <r>
    <n v="86"/>
    <s v="2025-02-21"/>
    <s v="SKU-1015"/>
    <x v="2"/>
    <x v="1"/>
    <s v="South"/>
    <s v="Delta Sourcing"/>
    <n v="69"/>
    <n v="109.56"/>
    <n v="195.28"/>
    <n v="18"/>
    <n v="494"/>
    <n v="104"/>
    <s v="Late"/>
    <x v="0"/>
  </r>
  <r>
    <n v="87"/>
    <s v="2025-05-16"/>
    <s v="SKU-1000"/>
    <x v="1"/>
    <x v="0"/>
    <s v="North"/>
    <s v="Alpha Traders"/>
    <n v="214"/>
    <n v="119.91"/>
    <n v="199.2"/>
    <n v="6"/>
    <n v="38"/>
    <n v="140"/>
    <s v="On-Time"/>
    <x v="1"/>
  </r>
  <r>
    <n v="88"/>
    <s v="2025-09-07"/>
    <s v="SKU-1010"/>
    <x v="3"/>
    <x v="2"/>
    <s v="Central"/>
    <s v="Alpha Traders"/>
    <n v="278"/>
    <n v="23.86"/>
    <n v="41.19"/>
    <n v="14"/>
    <n v="488"/>
    <n v="101"/>
    <s v="Late"/>
    <x v="0"/>
  </r>
  <r>
    <n v="89"/>
    <s v="2025-08-11"/>
    <s v="SKU-1007"/>
    <x v="0"/>
    <x v="0"/>
    <s v="Central"/>
    <s v="Alpha Traders"/>
    <n v="152"/>
    <n v="191.66"/>
    <n v="309.64"/>
    <n v="9"/>
    <n v="382"/>
    <n v="43"/>
    <s v="Late"/>
    <x v="0"/>
  </r>
  <r>
    <n v="90"/>
    <s v="2025-01-29"/>
    <s v="SKU-1014"/>
    <x v="2"/>
    <x v="1"/>
    <s v="North"/>
    <s v="Beta Supply Co"/>
    <n v="158"/>
    <n v="147.30000000000001"/>
    <n v="203.74"/>
    <n v="2"/>
    <n v="23"/>
    <n v="103"/>
    <s v="On-Time"/>
    <x v="1"/>
  </r>
  <r>
    <n v="91"/>
    <s v="2025-02-10"/>
    <s v="SKU-1007"/>
    <x v="0"/>
    <x v="1"/>
    <s v="Central"/>
    <s v="Beta Supply Co"/>
    <n v="294"/>
    <n v="191.66"/>
    <n v="300.06"/>
    <n v="7"/>
    <n v="87"/>
    <n v="64"/>
    <s v="On-Time"/>
    <x v="0"/>
  </r>
  <r>
    <n v="92"/>
    <s v="2025-08-24"/>
    <s v="SKU-1015"/>
    <x v="2"/>
    <x v="2"/>
    <s v="North"/>
    <s v="Gamma Logistics"/>
    <n v="78"/>
    <n v="109.56"/>
    <n v="192.43"/>
    <n v="9"/>
    <n v="236"/>
    <n v="85"/>
    <s v="On-Time"/>
    <x v="0"/>
  </r>
  <r>
    <n v="93"/>
    <s v="2025-06-03"/>
    <s v="SKU-1021"/>
    <x v="0"/>
    <x v="1"/>
    <s v="Central"/>
    <s v="Gamma Logistics"/>
    <n v="42"/>
    <n v="173.03"/>
    <n v="272.23"/>
    <n v="16"/>
    <n v="483"/>
    <n v="108"/>
    <s v="On-Time"/>
    <x v="0"/>
  </r>
  <r>
    <n v="94"/>
    <s v="2025-02-24"/>
    <s v="SKU-1014"/>
    <x v="2"/>
    <x v="0"/>
    <s v="North"/>
    <s v="Gamma Logistics"/>
    <n v="106"/>
    <n v="147.30000000000001"/>
    <n v="253.75"/>
    <n v="14"/>
    <n v="436"/>
    <n v="143"/>
    <s v="On-Time"/>
    <x v="0"/>
  </r>
  <r>
    <n v="95"/>
    <s v="2025-09-12"/>
    <s v="SKU-1022"/>
    <x v="3"/>
    <x v="1"/>
    <s v="South"/>
    <s v="Gamma Logistics"/>
    <n v="207"/>
    <n v="117.58"/>
    <n v="170.21"/>
    <n v="10"/>
    <n v="4"/>
    <n v="32"/>
    <s v="Late"/>
    <x v="1"/>
  </r>
  <r>
    <n v="96"/>
    <s v="2025-01-21"/>
    <s v="SKU-1007"/>
    <x v="0"/>
    <x v="1"/>
    <s v="South"/>
    <s v="Gamma Logistics"/>
    <n v="133"/>
    <n v="191.66"/>
    <n v="310.17"/>
    <n v="6"/>
    <n v="321"/>
    <n v="44"/>
    <s v="On-Time"/>
    <x v="0"/>
  </r>
  <r>
    <n v="97"/>
    <s v="2025-03-31"/>
    <s v="SKU-1023"/>
    <x v="2"/>
    <x v="0"/>
    <s v="North"/>
    <s v="Gamma Logistics"/>
    <n v="156"/>
    <n v="142.38999999999999"/>
    <n v="194.46"/>
    <n v="12"/>
    <n v="382"/>
    <n v="126"/>
    <s v="On-Time"/>
    <x v="0"/>
  </r>
  <r>
    <n v="98"/>
    <s v="2025-02-28"/>
    <s v="SKU-1005"/>
    <x v="2"/>
    <x v="2"/>
    <s v="South"/>
    <s v="Beta Supply Co"/>
    <n v="251"/>
    <n v="71.349999999999994"/>
    <n v="101.92"/>
    <n v="11"/>
    <n v="382"/>
    <n v="106"/>
    <s v="On-Time"/>
    <x v="0"/>
  </r>
  <r>
    <n v="99"/>
    <s v="2025-07-22"/>
    <s v="SKU-1021"/>
    <x v="0"/>
    <x v="0"/>
    <s v="South"/>
    <s v="Delta Sourcing"/>
    <n v="208"/>
    <n v="173.03"/>
    <n v="287.58999999999997"/>
    <n v="19"/>
    <n v="187"/>
    <n v="43"/>
    <s v="On-Time"/>
    <x v="0"/>
  </r>
  <r>
    <n v="100"/>
    <s v="2025-02-25"/>
    <s v="SKU-1011"/>
    <x v="1"/>
    <x v="1"/>
    <s v="South"/>
    <s v="Gamma Logistics"/>
    <n v="139"/>
    <n v="170.26"/>
    <n v="278.62"/>
    <n v="20"/>
    <n v="195"/>
    <n v="115"/>
    <s v="On-Time"/>
    <x v="0"/>
  </r>
  <r>
    <n v="101"/>
    <s v="2025-07-29"/>
    <s v="SKU-1019"/>
    <x v="0"/>
    <x v="2"/>
    <s v="South"/>
    <s v="Gamma Logistics"/>
    <n v="37"/>
    <n v="166.73"/>
    <n v="235.2"/>
    <n v="16"/>
    <n v="465"/>
    <n v="97"/>
    <s v="On-Time"/>
    <x v="0"/>
  </r>
  <r>
    <n v="102"/>
    <s v="2025-08-21"/>
    <s v="SKU-1015"/>
    <x v="2"/>
    <x v="0"/>
    <s v="Central"/>
    <s v="Delta Sourcing"/>
    <n v="125"/>
    <n v="109.56"/>
    <n v="148.79"/>
    <n v="19"/>
    <n v="69"/>
    <n v="119"/>
    <s v="On-Time"/>
    <x v="1"/>
  </r>
  <r>
    <n v="103"/>
    <s v="2025-09-08"/>
    <s v="SKU-1018"/>
    <x v="1"/>
    <x v="1"/>
    <s v="South"/>
    <s v="Gamma Logistics"/>
    <n v="84"/>
    <n v="112.65"/>
    <n v="188.25"/>
    <n v="15"/>
    <n v="335"/>
    <n v="45"/>
    <s v="On-Time"/>
    <x v="0"/>
  </r>
  <r>
    <n v="104"/>
    <s v="2025-07-03"/>
    <s v="SKU-1006"/>
    <x v="1"/>
    <x v="1"/>
    <s v="South"/>
    <s v="Alpha Traders"/>
    <n v="125"/>
    <n v="35.32"/>
    <n v="53.75"/>
    <n v="13"/>
    <n v="50"/>
    <n v="114"/>
    <s v="On-Time"/>
    <x v="1"/>
  </r>
  <r>
    <n v="105"/>
    <s v="2025-01-26"/>
    <s v="SKU-1014"/>
    <x v="2"/>
    <x v="2"/>
    <s v="South"/>
    <s v="Beta Supply Co"/>
    <n v="113"/>
    <n v="147.30000000000001"/>
    <n v="198.24"/>
    <n v="21"/>
    <n v="497"/>
    <n v="25"/>
    <s v="Late"/>
    <x v="0"/>
  </r>
  <r>
    <n v="106"/>
    <s v="2025-04-30"/>
    <s v="SKU-1002"/>
    <x v="4"/>
    <x v="2"/>
    <s v="Central"/>
    <s v="Alpha Traders"/>
    <n v="288"/>
    <n v="6.27"/>
    <n v="10.75"/>
    <n v="8"/>
    <n v="300"/>
    <n v="75"/>
    <s v="On-Time"/>
    <x v="0"/>
  </r>
  <r>
    <n v="107"/>
    <s v="2025-03-31"/>
    <s v="SKU-1008"/>
    <x v="1"/>
    <x v="2"/>
    <s v="South"/>
    <s v="Alpha Traders"/>
    <n v="79"/>
    <n v="70.64"/>
    <n v="122.15"/>
    <n v="6"/>
    <n v="276"/>
    <n v="84"/>
    <s v="On-Time"/>
    <x v="0"/>
  </r>
  <r>
    <n v="108"/>
    <s v="2025-03-31"/>
    <s v="SKU-1011"/>
    <x v="1"/>
    <x v="2"/>
    <s v="Central"/>
    <s v="Delta Sourcing"/>
    <n v="126"/>
    <n v="170.26"/>
    <n v="288.58999999999997"/>
    <n v="20"/>
    <n v="165"/>
    <n v="24"/>
    <s v="On-Time"/>
    <x v="0"/>
  </r>
  <r>
    <n v="109"/>
    <s v="2025-09-20"/>
    <s v="SKU-1016"/>
    <x v="0"/>
    <x v="1"/>
    <s v="Central"/>
    <s v="Beta Supply Co"/>
    <n v="37"/>
    <n v="194.76"/>
    <n v="264.26"/>
    <n v="17"/>
    <n v="229"/>
    <n v="112"/>
    <s v="On-Time"/>
    <x v="0"/>
  </r>
  <r>
    <n v="110"/>
    <s v="2025-02-01"/>
    <s v="SKU-1019"/>
    <x v="0"/>
    <x v="1"/>
    <s v="North"/>
    <s v="Alpha Traders"/>
    <n v="271"/>
    <n v="166.73"/>
    <n v="220.36"/>
    <n v="11"/>
    <n v="234"/>
    <n v="27"/>
    <s v="Late"/>
    <x v="0"/>
  </r>
  <r>
    <n v="111"/>
    <s v="2025-06-14"/>
    <s v="SKU-1015"/>
    <x v="2"/>
    <x v="2"/>
    <s v="South"/>
    <s v="Gamma Logistics"/>
    <n v="232"/>
    <n v="109.56"/>
    <n v="181.45"/>
    <n v="4"/>
    <n v="460"/>
    <n v="40"/>
    <s v="On-Time"/>
    <x v="0"/>
  </r>
  <r>
    <n v="112"/>
    <s v="2025-08-21"/>
    <s v="SKU-1019"/>
    <x v="0"/>
    <x v="1"/>
    <s v="South"/>
    <s v="Alpha Traders"/>
    <n v="285"/>
    <n v="166.73"/>
    <n v="269.52999999999997"/>
    <n v="12"/>
    <n v="195"/>
    <n v="95"/>
    <s v="On-Time"/>
    <x v="0"/>
  </r>
  <r>
    <n v="113"/>
    <s v="2025-04-27"/>
    <s v="SKU-1020"/>
    <x v="2"/>
    <x v="1"/>
    <s v="North"/>
    <s v="Delta Sourcing"/>
    <n v="287"/>
    <n v="125.61"/>
    <n v="204.17"/>
    <n v="8"/>
    <n v="220"/>
    <n v="135"/>
    <s v="On-Time"/>
    <x v="0"/>
  </r>
  <r>
    <n v="114"/>
    <s v="2025-07-11"/>
    <s v="SKU-1023"/>
    <x v="2"/>
    <x v="0"/>
    <s v="North"/>
    <s v="Alpha Traders"/>
    <n v="223"/>
    <n v="142.38999999999999"/>
    <n v="191.88"/>
    <n v="12"/>
    <n v="340"/>
    <n v="85"/>
    <s v="Late"/>
    <x v="0"/>
  </r>
  <r>
    <n v="115"/>
    <s v="2025-03-08"/>
    <s v="SKU-1002"/>
    <x v="4"/>
    <x v="0"/>
    <s v="Central"/>
    <s v="Gamma Logistics"/>
    <n v="52"/>
    <n v="6.27"/>
    <n v="10.76"/>
    <n v="15"/>
    <n v="49"/>
    <n v="115"/>
    <s v="On-Time"/>
    <x v="1"/>
  </r>
  <r>
    <n v="116"/>
    <s v="2025-05-28"/>
    <s v="SKU-1021"/>
    <x v="0"/>
    <x v="1"/>
    <s v="South"/>
    <s v="Beta Supply Co"/>
    <n v="186"/>
    <n v="173.03"/>
    <n v="235.51"/>
    <n v="15"/>
    <n v="444"/>
    <n v="33"/>
    <s v="On-Time"/>
    <x v="0"/>
  </r>
  <r>
    <n v="117"/>
    <s v="2025-02-28"/>
    <s v="SKU-1004"/>
    <x v="2"/>
    <x v="0"/>
    <s v="South"/>
    <s v="Delta Sourcing"/>
    <n v="119"/>
    <n v="141.13999999999999"/>
    <n v="229.83"/>
    <n v="5"/>
    <n v="179"/>
    <n v="114"/>
    <s v="On-Time"/>
    <x v="0"/>
  </r>
  <r>
    <n v="118"/>
    <s v="2025-01-15"/>
    <s v="SKU-1017"/>
    <x v="0"/>
    <x v="0"/>
    <s v="North"/>
    <s v="Gamma Logistics"/>
    <n v="290"/>
    <n v="78.81"/>
    <n v="140.86000000000001"/>
    <n v="2"/>
    <n v="311"/>
    <n v="88"/>
    <s v="On-Time"/>
    <x v="0"/>
  </r>
  <r>
    <n v="119"/>
    <s v="2025-02-05"/>
    <s v="SKU-1011"/>
    <x v="1"/>
    <x v="0"/>
    <s v="South"/>
    <s v="Alpha Traders"/>
    <n v="78"/>
    <n v="170.26"/>
    <n v="221.86"/>
    <n v="20"/>
    <n v="336"/>
    <n v="122"/>
    <s v="On-Time"/>
    <x v="0"/>
  </r>
  <r>
    <n v="120"/>
    <s v="2025-03-22"/>
    <s v="SKU-1023"/>
    <x v="2"/>
    <x v="0"/>
    <s v="North"/>
    <s v="Alpha Traders"/>
    <n v="197"/>
    <n v="142.38999999999999"/>
    <n v="222.87"/>
    <n v="15"/>
    <n v="232"/>
    <n v="107"/>
    <s v="On-Time"/>
    <x v="0"/>
  </r>
  <r>
    <n v="121"/>
    <s v="2025-08-06"/>
    <s v="SKU-1001"/>
    <x v="1"/>
    <x v="1"/>
    <s v="North"/>
    <s v="Gamma Logistics"/>
    <n v="30"/>
    <n v="162.84"/>
    <n v="224.36"/>
    <n v="4"/>
    <n v="139"/>
    <n v="133"/>
    <s v="On-Time"/>
    <x v="0"/>
  </r>
  <r>
    <n v="122"/>
    <s v="2025-05-26"/>
    <s v="SKU-1006"/>
    <x v="1"/>
    <x v="0"/>
    <s v="North"/>
    <s v="Gamma Logistics"/>
    <n v="63"/>
    <n v="35.32"/>
    <n v="59.25"/>
    <n v="13"/>
    <n v="220"/>
    <n v="48"/>
    <s v="On-Time"/>
    <x v="0"/>
  </r>
  <r>
    <n v="123"/>
    <s v="2025-04-19"/>
    <s v="SKU-1001"/>
    <x v="1"/>
    <x v="1"/>
    <s v="North"/>
    <s v="Gamma Logistics"/>
    <n v="33"/>
    <n v="162.84"/>
    <n v="229.65"/>
    <n v="2"/>
    <n v="104"/>
    <n v="97"/>
    <s v="On-Time"/>
    <x v="0"/>
  </r>
  <r>
    <n v="124"/>
    <s v="2025-04-28"/>
    <s v="SKU-1003"/>
    <x v="2"/>
    <x v="0"/>
    <s v="North"/>
    <s v="Alpha Traders"/>
    <n v="225"/>
    <n v="162.13"/>
    <n v="211.4"/>
    <n v="7"/>
    <n v="66"/>
    <n v="117"/>
    <s v="On-Time"/>
    <x v="1"/>
  </r>
  <r>
    <n v="125"/>
    <s v="2025-02-09"/>
    <s v="SKU-1012"/>
    <x v="1"/>
    <x v="0"/>
    <s v="North"/>
    <s v="Delta Sourcing"/>
    <n v="26"/>
    <n v="122.73"/>
    <n v="212.43"/>
    <n v="15"/>
    <n v="9"/>
    <n v="137"/>
    <s v="Late"/>
    <x v="1"/>
  </r>
  <r>
    <n v="126"/>
    <s v="2025-06-16"/>
    <s v="SKU-1022"/>
    <x v="3"/>
    <x v="0"/>
    <s v="North"/>
    <s v="Gamma Logistics"/>
    <n v="153"/>
    <n v="117.58"/>
    <n v="190.49"/>
    <n v="5"/>
    <n v="207"/>
    <n v="25"/>
    <s v="On-Time"/>
    <x v="0"/>
  </r>
  <r>
    <n v="127"/>
    <s v="2025-09-26"/>
    <s v="SKU-1002"/>
    <x v="4"/>
    <x v="1"/>
    <s v="Central"/>
    <s v="Gamma Logistics"/>
    <n v="59"/>
    <n v="6.27"/>
    <n v="9.52"/>
    <n v="9"/>
    <n v="223"/>
    <n v="122"/>
    <s v="On-Time"/>
    <x v="0"/>
  </r>
  <r>
    <n v="128"/>
    <s v="2025-09-19"/>
    <s v="SKU-1007"/>
    <x v="0"/>
    <x v="1"/>
    <s v="North"/>
    <s v="Beta Supply Co"/>
    <n v="91"/>
    <n v="191.66"/>
    <n v="281.08"/>
    <n v="4"/>
    <n v="261"/>
    <n v="49"/>
    <s v="On-Time"/>
    <x v="0"/>
  </r>
  <r>
    <n v="129"/>
    <s v="2025-02-08"/>
    <s v="SKU-1007"/>
    <x v="0"/>
    <x v="0"/>
    <s v="North"/>
    <s v="Delta Sourcing"/>
    <n v="136"/>
    <n v="191.66"/>
    <n v="259.01"/>
    <n v="8"/>
    <n v="88"/>
    <n v="59"/>
    <s v="On-Time"/>
    <x v="0"/>
  </r>
  <r>
    <n v="130"/>
    <s v="2025-06-11"/>
    <s v="SKU-1024"/>
    <x v="3"/>
    <x v="2"/>
    <s v="North"/>
    <s v="Delta Sourcing"/>
    <n v="234"/>
    <n v="13.94"/>
    <n v="22.05"/>
    <n v="20"/>
    <n v="329"/>
    <n v="102"/>
    <s v="On-Time"/>
    <x v="0"/>
  </r>
  <r>
    <n v="131"/>
    <s v="2025-09-17"/>
    <s v="SKU-1020"/>
    <x v="2"/>
    <x v="1"/>
    <s v="North"/>
    <s v="Alpha Traders"/>
    <n v="145"/>
    <n v="125.61"/>
    <n v="182.31"/>
    <n v="20"/>
    <n v="28"/>
    <n v="110"/>
    <s v="On-Time"/>
    <x v="1"/>
  </r>
  <r>
    <n v="132"/>
    <s v="2025-09-17"/>
    <s v="SKU-1001"/>
    <x v="1"/>
    <x v="0"/>
    <s v="Central"/>
    <s v="Alpha Traders"/>
    <n v="151"/>
    <n v="162.84"/>
    <n v="241.71"/>
    <n v="4"/>
    <n v="330"/>
    <n v="43"/>
    <s v="On-Time"/>
    <x v="0"/>
  </r>
  <r>
    <n v="133"/>
    <s v="2025-09-14"/>
    <s v="SKU-1014"/>
    <x v="2"/>
    <x v="2"/>
    <s v="North"/>
    <s v="Alpha Traders"/>
    <n v="297"/>
    <n v="147.30000000000001"/>
    <n v="258.44"/>
    <n v="8"/>
    <n v="164"/>
    <n v="141"/>
    <s v="On-Time"/>
    <x v="0"/>
  </r>
  <r>
    <n v="134"/>
    <s v="2025-01-21"/>
    <s v="SKU-1010"/>
    <x v="3"/>
    <x v="1"/>
    <s v="North"/>
    <s v="Beta Supply Co"/>
    <n v="48"/>
    <n v="23.86"/>
    <n v="42.74"/>
    <n v="18"/>
    <n v="330"/>
    <n v="64"/>
    <s v="On-Time"/>
    <x v="0"/>
  </r>
  <r>
    <n v="135"/>
    <s v="2025-01-27"/>
    <s v="SKU-1011"/>
    <x v="1"/>
    <x v="0"/>
    <s v="North"/>
    <s v="Alpha Traders"/>
    <n v="149"/>
    <n v="170.26"/>
    <n v="253.08"/>
    <n v="14"/>
    <n v="209"/>
    <n v="106"/>
    <s v="Late"/>
    <x v="0"/>
  </r>
  <r>
    <n v="136"/>
    <s v="2025-06-20"/>
    <s v="SKU-1010"/>
    <x v="3"/>
    <x v="0"/>
    <s v="South"/>
    <s v="Gamma Logistics"/>
    <n v="202"/>
    <n v="23.86"/>
    <n v="32.15"/>
    <n v="11"/>
    <n v="129"/>
    <n v="58"/>
    <s v="On-Time"/>
    <x v="0"/>
  </r>
  <r>
    <n v="137"/>
    <s v="2025-06-08"/>
    <s v="SKU-1009"/>
    <x v="0"/>
    <x v="0"/>
    <s v="North"/>
    <s v="Beta Supply Co"/>
    <n v="205"/>
    <n v="23.09"/>
    <n v="41.19"/>
    <n v="6"/>
    <n v="304"/>
    <n v="41"/>
    <s v="On-Time"/>
    <x v="0"/>
  </r>
  <r>
    <n v="138"/>
    <s v="2025-09-18"/>
    <s v="SKU-1021"/>
    <x v="0"/>
    <x v="1"/>
    <s v="North"/>
    <s v="Beta Supply Co"/>
    <n v="274"/>
    <n v="173.03"/>
    <n v="285.74"/>
    <n v="4"/>
    <n v="330"/>
    <n v="128"/>
    <s v="On-Time"/>
    <x v="0"/>
  </r>
  <r>
    <n v="139"/>
    <s v="2025-03-21"/>
    <s v="SKU-1006"/>
    <x v="1"/>
    <x v="2"/>
    <s v="Central"/>
    <s v="Alpha Traders"/>
    <n v="253"/>
    <n v="35.32"/>
    <n v="51.95"/>
    <n v="8"/>
    <n v="115"/>
    <n v="55"/>
    <s v="On-Time"/>
    <x v="0"/>
  </r>
  <r>
    <n v="140"/>
    <s v="2025-03-25"/>
    <s v="SKU-1021"/>
    <x v="0"/>
    <x v="0"/>
    <s v="Central"/>
    <s v="Beta Supply Co"/>
    <n v="72"/>
    <n v="173.03"/>
    <n v="254.07"/>
    <n v="21"/>
    <n v="192"/>
    <n v="59"/>
    <s v="On-Time"/>
    <x v="0"/>
  </r>
  <r>
    <n v="141"/>
    <s v="2025-08-16"/>
    <s v="SKU-1023"/>
    <x v="2"/>
    <x v="0"/>
    <s v="North"/>
    <s v="Beta Supply Co"/>
    <n v="215"/>
    <n v="142.38999999999999"/>
    <n v="216.27"/>
    <n v="13"/>
    <n v="346"/>
    <n v="80"/>
    <s v="On-Time"/>
    <x v="0"/>
  </r>
  <r>
    <n v="142"/>
    <s v="2025-08-25"/>
    <s v="SKU-1017"/>
    <x v="0"/>
    <x v="1"/>
    <s v="Central"/>
    <s v="Delta Sourcing"/>
    <n v="245"/>
    <n v="78.81"/>
    <n v="111.88"/>
    <n v="8"/>
    <n v="188"/>
    <n v="132"/>
    <s v="On-Time"/>
    <x v="0"/>
  </r>
  <r>
    <n v="143"/>
    <s v="2025-07-10"/>
    <s v="SKU-1005"/>
    <x v="2"/>
    <x v="2"/>
    <s v="Central"/>
    <s v="Alpha Traders"/>
    <n v="75"/>
    <n v="71.349999999999994"/>
    <n v="121.9"/>
    <n v="10"/>
    <n v="26"/>
    <n v="143"/>
    <s v="On-Time"/>
    <x v="1"/>
  </r>
  <r>
    <n v="144"/>
    <s v="2025-08-12"/>
    <s v="SKU-1009"/>
    <x v="0"/>
    <x v="2"/>
    <s v="North"/>
    <s v="Gamma Logistics"/>
    <n v="87"/>
    <n v="23.09"/>
    <n v="30.99"/>
    <n v="10"/>
    <n v="230"/>
    <n v="57"/>
    <s v="On-Time"/>
    <x v="0"/>
  </r>
  <r>
    <n v="145"/>
    <s v="2025-07-17"/>
    <s v="SKU-1000"/>
    <x v="1"/>
    <x v="1"/>
    <s v="South"/>
    <s v="Alpha Traders"/>
    <n v="207"/>
    <n v="119.91"/>
    <n v="180.76"/>
    <n v="18"/>
    <n v="191"/>
    <n v="80"/>
    <s v="Late"/>
    <x v="0"/>
  </r>
  <r>
    <n v="146"/>
    <s v="2025-05-27"/>
    <s v="SKU-1010"/>
    <x v="3"/>
    <x v="1"/>
    <s v="Central"/>
    <s v="Beta Supply Co"/>
    <n v="176"/>
    <n v="23.86"/>
    <n v="42.12"/>
    <n v="6"/>
    <n v="70"/>
    <n v="29"/>
    <s v="Late"/>
    <x v="0"/>
  </r>
  <r>
    <n v="147"/>
    <s v="2025-01-10"/>
    <s v="SKU-1024"/>
    <x v="3"/>
    <x v="2"/>
    <s v="Central"/>
    <s v="Delta Sourcing"/>
    <n v="234"/>
    <n v="13.94"/>
    <n v="23.04"/>
    <n v="21"/>
    <n v="2"/>
    <n v="40"/>
    <s v="On-Time"/>
    <x v="1"/>
  </r>
  <r>
    <n v="148"/>
    <s v="2025-05-03"/>
    <s v="SKU-1003"/>
    <x v="2"/>
    <x v="0"/>
    <s v="North"/>
    <s v="Alpha Traders"/>
    <n v="126"/>
    <n v="162.13"/>
    <n v="273.69"/>
    <n v="11"/>
    <n v="62"/>
    <n v="32"/>
    <s v="On-Time"/>
    <x v="0"/>
  </r>
  <r>
    <n v="149"/>
    <s v="2025-09-21"/>
    <s v="SKU-1003"/>
    <x v="2"/>
    <x v="0"/>
    <s v="South"/>
    <s v="Gamma Logistics"/>
    <n v="260"/>
    <n v="162.13"/>
    <n v="278.60000000000002"/>
    <n v="21"/>
    <n v="274"/>
    <n v="24"/>
    <s v="On-Time"/>
    <x v="0"/>
  </r>
  <r>
    <n v="150"/>
    <s v="2025-04-06"/>
    <s v="SKU-1013"/>
    <x v="1"/>
    <x v="2"/>
    <s v="Central"/>
    <s v="Gamma Logistics"/>
    <n v="185"/>
    <n v="162.38999999999999"/>
    <n v="211.23"/>
    <n v="9"/>
    <n v="292"/>
    <n v="126"/>
    <s v="On-Time"/>
    <x v="0"/>
  </r>
  <r>
    <n v="151"/>
    <s v="2025-01-11"/>
    <s v="SKU-1002"/>
    <x v="4"/>
    <x v="1"/>
    <s v="South"/>
    <s v="Delta Sourcing"/>
    <n v="283"/>
    <n v="6.27"/>
    <n v="11.14"/>
    <n v="18"/>
    <n v="402"/>
    <n v="149"/>
    <s v="On-Time"/>
    <x v="0"/>
  </r>
  <r>
    <n v="152"/>
    <s v="2025-06-26"/>
    <s v="SKU-1011"/>
    <x v="1"/>
    <x v="0"/>
    <s v="Central"/>
    <s v="Alpha Traders"/>
    <n v="13"/>
    <n v="170.26"/>
    <n v="242.93"/>
    <n v="13"/>
    <n v="403"/>
    <n v="37"/>
    <s v="On-Time"/>
    <x v="0"/>
  </r>
  <r>
    <n v="153"/>
    <s v="2025-06-23"/>
    <s v="SKU-1024"/>
    <x v="3"/>
    <x v="2"/>
    <s v="Central"/>
    <s v="Delta Sourcing"/>
    <n v="175"/>
    <n v="13.94"/>
    <n v="22.18"/>
    <n v="6"/>
    <n v="22"/>
    <n v="110"/>
    <s v="Late"/>
    <x v="1"/>
  </r>
  <r>
    <n v="154"/>
    <s v="2025-01-19"/>
    <s v="SKU-1022"/>
    <x v="3"/>
    <x v="2"/>
    <s v="South"/>
    <s v="Alpha Traders"/>
    <n v="98"/>
    <n v="117.58"/>
    <n v="180.99"/>
    <n v="6"/>
    <n v="32"/>
    <n v="137"/>
    <s v="On-Time"/>
    <x v="1"/>
  </r>
  <r>
    <n v="155"/>
    <s v="2025-05-10"/>
    <s v="SKU-1010"/>
    <x v="3"/>
    <x v="0"/>
    <s v="South"/>
    <s v="Gamma Logistics"/>
    <n v="268"/>
    <n v="23.86"/>
    <n v="42.15"/>
    <n v="14"/>
    <n v="417"/>
    <n v="141"/>
    <s v="On-Time"/>
    <x v="0"/>
  </r>
  <r>
    <n v="156"/>
    <s v="2025-07-08"/>
    <s v="SKU-1011"/>
    <x v="1"/>
    <x v="1"/>
    <s v="Central"/>
    <s v="Delta Sourcing"/>
    <n v="29"/>
    <n v="170.26"/>
    <n v="294.73"/>
    <n v="12"/>
    <n v="139"/>
    <n v="51"/>
    <s v="On-Time"/>
    <x v="0"/>
  </r>
  <r>
    <n v="157"/>
    <s v="2025-07-08"/>
    <s v="SKU-1012"/>
    <x v="1"/>
    <x v="0"/>
    <s v="North"/>
    <s v="Alpha Traders"/>
    <n v="100"/>
    <n v="122.73"/>
    <n v="180.35"/>
    <n v="17"/>
    <n v="354"/>
    <n v="147"/>
    <s v="Late"/>
    <x v="0"/>
  </r>
  <r>
    <n v="158"/>
    <s v="2025-05-31"/>
    <s v="SKU-1023"/>
    <x v="2"/>
    <x v="2"/>
    <s v="North"/>
    <s v="Gamma Logistics"/>
    <n v="225"/>
    <n v="142.38999999999999"/>
    <n v="215.33"/>
    <n v="21"/>
    <n v="421"/>
    <n v="66"/>
    <s v="On-Time"/>
    <x v="0"/>
  </r>
  <r>
    <n v="159"/>
    <s v="2025-06-29"/>
    <s v="SKU-1009"/>
    <x v="0"/>
    <x v="0"/>
    <s v="North"/>
    <s v="Delta Sourcing"/>
    <n v="223"/>
    <n v="23.09"/>
    <n v="35.17"/>
    <n v="7"/>
    <n v="353"/>
    <n v="133"/>
    <s v="On-Time"/>
    <x v="0"/>
  </r>
  <r>
    <n v="160"/>
    <s v="2025-07-06"/>
    <s v="SKU-1008"/>
    <x v="1"/>
    <x v="0"/>
    <s v="Central"/>
    <s v="Beta Supply Co"/>
    <n v="34"/>
    <n v="70.64"/>
    <n v="114.42"/>
    <n v="4"/>
    <n v="343"/>
    <n v="123"/>
    <s v="On-Time"/>
    <x v="0"/>
  </r>
  <r>
    <n v="161"/>
    <s v="2025-05-01"/>
    <s v="SKU-1000"/>
    <x v="1"/>
    <x v="1"/>
    <s v="North"/>
    <s v="Delta Sourcing"/>
    <n v="229"/>
    <n v="119.91"/>
    <n v="164.44"/>
    <n v="3"/>
    <n v="64"/>
    <n v="37"/>
    <s v="On-Time"/>
    <x v="0"/>
  </r>
  <r>
    <n v="162"/>
    <s v="2025-07-10"/>
    <s v="SKU-1018"/>
    <x v="1"/>
    <x v="2"/>
    <s v="Central"/>
    <s v="Beta Supply Co"/>
    <n v="83"/>
    <n v="112.65"/>
    <n v="148.27000000000001"/>
    <n v="16"/>
    <n v="485"/>
    <n v="114"/>
    <s v="On-Time"/>
    <x v="0"/>
  </r>
  <r>
    <n v="163"/>
    <s v="2025-01-14"/>
    <s v="SKU-1016"/>
    <x v="0"/>
    <x v="1"/>
    <s v="Central"/>
    <s v="Delta Sourcing"/>
    <n v="165"/>
    <n v="194.76"/>
    <n v="288.92"/>
    <n v="10"/>
    <n v="127"/>
    <n v="49"/>
    <s v="On-Time"/>
    <x v="0"/>
  </r>
  <r>
    <n v="164"/>
    <s v="2025-09-09"/>
    <s v="SKU-1017"/>
    <x v="0"/>
    <x v="2"/>
    <s v="South"/>
    <s v="Delta Sourcing"/>
    <n v="138"/>
    <n v="78.81"/>
    <n v="107.09"/>
    <n v="16"/>
    <n v="109"/>
    <n v="93"/>
    <s v="On-Time"/>
    <x v="0"/>
  </r>
  <r>
    <n v="165"/>
    <s v="2025-06-27"/>
    <s v="SKU-1005"/>
    <x v="2"/>
    <x v="0"/>
    <s v="Central"/>
    <s v="Gamma Logistics"/>
    <n v="232"/>
    <n v="71.349999999999994"/>
    <n v="124.82"/>
    <n v="4"/>
    <n v="414"/>
    <n v="101"/>
    <s v="On-Time"/>
    <x v="0"/>
  </r>
  <r>
    <n v="166"/>
    <s v="2025-03-04"/>
    <s v="SKU-1009"/>
    <x v="0"/>
    <x v="2"/>
    <s v="South"/>
    <s v="Delta Sourcing"/>
    <n v="94"/>
    <n v="23.09"/>
    <n v="39.85"/>
    <n v="13"/>
    <n v="260"/>
    <n v="77"/>
    <s v="Late"/>
    <x v="0"/>
  </r>
  <r>
    <n v="167"/>
    <s v="2025-02-14"/>
    <s v="SKU-1000"/>
    <x v="1"/>
    <x v="1"/>
    <s v="Central"/>
    <s v="Delta Sourcing"/>
    <n v="298"/>
    <n v="119.91"/>
    <n v="177.52"/>
    <n v="13"/>
    <n v="239"/>
    <n v="53"/>
    <s v="On-Time"/>
    <x v="0"/>
  </r>
  <r>
    <n v="168"/>
    <s v="2025-06-12"/>
    <s v="SKU-1016"/>
    <x v="0"/>
    <x v="1"/>
    <s v="North"/>
    <s v="Gamma Logistics"/>
    <n v="214"/>
    <n v="194.76"/>
    <n v="293.19"/>
    <n v="20"/>
    <n v="37"/>
    <n v="52"/>
    <s v="On-Time"/>
    <x v="1"/>
  </r>
  <r>
    <n v="169"/>
    <s v="2025-08-10"/>
    <s v="SKU-1004"/>
    <x v="2"/>
    <x v="2"/>
    <s v="South"/>
    <s v="Beta Supply Co"/>
    <n v="287"/>
    <n v="141.13999999999999"/>
    <n v="245.44"/>
    <n v="20"/>
    <n v="93"/>
    <n v="53"/>
    <s v="On-Time"/>
    <x v="0"/>
  </r>
  <r>
    <n v="170"/>
    <s v="2025-02-10"/>
    <s v="SKU-1009"/>
    <x v="0"/>
    <x v="0"/>
    <s v="Central"/>
    <s v="Gamma Logistics"/>
    <n v="170"/>
    <n v="23.09"/>
    <n v="31.92"/>
    <n v="9"/>
    <n v="177"/>
    <n v="92"/>
    <s v="On-Time"/>
    <x v="0"/>
  </r>
  <r>
    <n v="171"/>
    <s v="2025-03-20"/>
    <s v="SKU-1004"/>
    <x v="2"/>
    <x v="0"/>
    <s v="Central"/>
    <s v="Gamma Logistics"/>
    <n v="278"/>
    <n v="141.13999999999999"/>
    <n v="227.59"/>
    <n v="4"/>
    <n v="257"/>
    <n v="63"/>
    <s v="On-Time"/>
    <x v="0"/>
  </r>
  <r>
    <n v="172"/>
    <s v="2025-04-18"/>
    <s v="SKU-1018"/>
    <x v="1"/>
    <x v="1"/>
    <s v="Central"/>
    <s v="Alpha Traders"/>
    <n v="19"/>
    <n v="112.65"/>
    <n v="148.77000000000001"/>
    <n v="4"/>
    <n v="23"/>
    <n v="87"/>
    <s v="On-Time"/>
    <x v="1"/>
  </r>
  <r>
    <n v="173"/>
    <s v="2025-09-05"/>
    <s v="SKU-1015"/>
    <x v="2"/>
    <x v="0"/>
    <s v="North"/>
    <s v="Gamma Logistics"/>
    <n v="284"/>
    <n v="109.56"/>
    <n v="191.13"/>
    <n v="11"/>
    <n v="328"/>
    <n v="97"/>
    <s v="On-Time"/>
    <x v="0"/>
  </r>
  <r>
    <n v="174"/>
    <s v="2025-09-05"/>
    <s v="SKU-1014"/>
    <x v="2"/>
    <x v="1"/>
    <s v="Central"/>
    <s v="Beta Supply Co"/>
    <n v="35"/>
    <n v="147.30000000000001"/>
    <n v="196.86"/>
    <n v="7"/>
    <n v="225"/>
    <n v="126"/>
    <s v="On-Time"/>
    <x v="0"/>
  </r>
  <r>
    <n v="175"/>
    <s v="2025-03-08"/>
    <s v="SKU-1010"/>
    <x v="3"/>
    <x v="0"/>
    <s v="Central"/>
    <s v="Alpha Traders"/>
    <n v="168"/>
    <n v="23.86"/>
    <n v="41.3"/>
    <n v="13"/>
    <n v="499"/>
    <n v="122"/>
    <s v="On-Time"/>
    <x v="0"/>
  </r>
  <r>
    <n v="176"/>
    <s v="2025-03-14"/>
    <s v="SKU-1010"/>
    <x v="3"/>
    <x v="1"/>
    <s v="North"/>
    <s v="Delta Sourcing"/>
    <n v="67"/>
    <n v="23.86"/>
    <n v="33.9"/>
    <n v="10"/>
    <n v="230"/>
    <n v="83"/>
    <s v="On-Time"/>
    <x v="0"/>
  </r>
  <r>
    <n v="177"/>
    <s v="2025-04-08"/>
    <s v="SKU-1007"/>
    <x v="0"/>
    <x v="1"/>
    <s v="Central"/>
    <s v="Delta Sourcing"/>
    <n v="86"/>
    <n v="191.66"/>
    <n v="341.41"/>
    <n v="12"/>
    <n v="478"/>
    <n v="100"/>
    <s v="On-Time"/>
    <x v="0"/>
  </r>
  <r>
    <n v="178"/>
    <s v="2025-09-16"/>
    <s v="SKU-1015"/>
    <x v="2"/>
    <x v="2"/>
    <s v="South"/>
    <s v="Gamma Logistics"/>
    <n v="259"/>
    <n v="109.56"/>
    <n v="190.58"/>
    <n v="2"/>
    <n v="46"/>
    <n v="120"/>
    <s v="On-Time"/>
    <x v="1"/>
  </r>
  <r>
    <n v="179"/>
    <s v="2025-05-27"/>
    <s v="SKU-1001"/>
    <x v="1"/>
    <x v="2"/>
    <s v="North"/>
    <s v="Beta Supply Co"/>
    <n v="258"/>
    <n v="162.84"/>
    <n v="215.81"/>
    <n v="21"/>
    <n v="451"/>
    <n v="140"/>
    <s v="On-Time"/>
    <x v="0"/>
  </r>
  <r>
    <n v="180"/>
    <s v="2025-01-27"/>
    <s v="SKU-1008"/>
    <x v="1"/>
    <x v="2"/>
    <s v="North"/>
    <s v="Gamma Logistics"/>
    <n v="211"/>
    <n v="70.64"/>
    <n v="117.53"/>
    <n v="13"/>
    <n v="23"/>
    <n v="122"/>
    <s v="On-Time"/>
    <x v="1"/>
  </r>
  <r>
    <n v="181"/>
    <s v="2025-03-07"/>
    <s v="SKU-1002"/>
    <x v="4"/>
    <x v="1"/>
    <s v="North"/>
    <s v="Gamma Logistics"/>
    <n v="235"/>
    <n v="6.27"/>
    <n v="9.36"/>
    <n v="19"/>
    <n v="143"/>
    <n v="50"/>
    <s v="Late"/>
    <x v="0"/>
  </r>
  <r>
    <n v="182"/>
    <s v="2025-07-25"/>
    <s v="SKU-1017"/>
    <x v="0"/>
    <x v="2"/>
    <s v="South"/>
    <s v="Beta Supply Co"/>
    <n v="78"/>
    <n v="78.81"/>
    <n v="139.44999999999999"/>
    <n v="8"/>
    <n v="308"/>
    <n v="150"/>
    <s v="On-Time"/>
    <x v="0"/>
  </r>
  <r>
    <n v="183"/>
    <s v="2025-09-21"/>
    <s v="SKU-1022"/>
    <x v="3"/>
    <x v="0"/>
    <s v="North"/>
    <s v="Beta Supply Co"/>
    <n v="247"/>
    <n v="117.58"/>
    <n v="172.43"/>
    <n v="18"/>
    <n v="233"/>
    <n v="58"/>
    <s v="On-Time"/>
    <x v="0"/>
  </r>
  <r>
    <n v="184"/>
    <s v="2025-09-18"/>
    <s v="SKU-1012"/>
    <x v="1"/>
    <x v="0"/>
    <s v="Central"/>
    <s v="Gamma Logistics"/>
    <n v="158"/>
    <n v="122.73"/>
    <n v="220.34"/>
    <n v="20"/>
    <n v="172"/>
    <n v="149"/>
    <s v="On-Time"/>
    <x v="0"/>
  </r>
  <r>
    <n v="185"/>
    <s v="2025-08-02"/>
    <s v="SKU-1015"/>
    <x v="2"/>
    <x v="0"/>
    <s v="Central"/>
    <s v="Alpha Traders"/>
    <n v="193"/>
    <n v="109.56"/>
    <n v="187.11"/>
    <n v="12"/>
    <n v="344"/>
    <n v="48"/>
    <s v="On-Time"/>
    <x v="0"/>
  </r>
  <r>
    <n v="186"/>
    <s v="2025-09-03"/>
    <s v="SKU-1019"/>
    <x v="0"/>
    <x v="0"/>
    <s v="Central"/>
    <s v="Delta Sourcing"/>
    <n v="300"/>
    <n v="166.73"/>
    <n v="256.31"/>
    <n v="9"/>
    <n v="369"/>
    <n v="33"/>
    <s v="On-Time"/>
    <x v="0"/>
  </r>
  <r>
    <n v="187"/>
    <s v="2025-04-08"/>
    <s v="SKU-1004"/>
    <x v="2"/>
    <x v="1"/>
    <s v="North"/>
    <s v="Beta Supply Co"/>
    <n v="129"/>
    <n v="141.13999999999999"/>
    <n v="241.47"/>
    <n v="3"/>
    <n v="293"/>
    <n v="48"/>
    <s v="On-Time"/>
    <x v="0"/>
  </r>
  <r>
    <n v="188"/>
    <s v="2025-02-01"/>
    <s v="SKU-1013"/>
    <x v="1"/>
    <x v="0"/>
    <s v="South"/>
    <s v="Gamma Logistics"/>
    <n v="215"/>
    <n v="162.38999999999999"/>
    <n v="267.17"/>
    <n v="18"/>
    <n v="396"/>
    <n v="140"/>
    <s v="On-Time"/>
    <x v="0"/>
  </r>
  <r>
    <n v="189"/>
    <s v="2025-08-24"/>
    <s v="SKU-1021"/>
    <x v="0"/>
    <x v="1"/>
    <s v="Central"/>
    <s v="Gamma Logistics"/>
    <n v="197"/>
    <n v="173.03"/>
    <n v="266.33"/>
    <n v="12"/>
    <n v="489"/>
    <n v="64"/>
    <s v="Late"/>
    <x v="0"/>
  </r>
  <r>
    <n v="190"/>
    <s v="2025-05-07"/>
    <s v="SKU-1021"/>
    <x v="0"/>
    <x v="1"/>
    <s v="South"/>
    <s v="Gamma Logistics"/>
    <n v="140"/>
    <n v="173.03"/>
    <n v="291.73"/>
    <n v="21"/>
    <n v="247"/>
    <n v="69"/>
    <s v="On-Time"/>
    <x v="0"/>
  </r>
  <r>
    <n v="191"/>
    <s v="2025-06-28"/>
    <s v="SKU-1024"/>
    <x v="3"/>
    <x v="0"/>
    <s v="North"/>
    <s v="Gamma Logistics"/>
    <n v="111"/>
    <n v="13.94"/>
    <n v="20.14"/>
    <n v="17"/>
    <n v="162"/>
    <n v="142"/>
    <s v="On-Time"/>
    <x v="0"/>
  </r>
  <r>
    <n v="192"/>
    <s v="2025-06-26"/>
    <s v="SKU-1003"/>
    <x v="2"/>
    <x v="2"/>
    <s v="North"/>
    <s v="Alpha Traders"/>
    <n v="283"/>
    <n v="162.13"/>
    <n v="257.26"/>
    <n v="14"/>
    <n v="458"/>
    <n v="121"/>
    <s v="Late"/>
    <x v="0"/>
  </r>
  <r>
    <n v="193"/>
    <s v="2025-05-12"/>
    <s v="SKU-1009"/>
    <x v="0"/>
    <x v="2"/>
    <s v="South"/>
    <s v="Gamma Logistics"/>
    <n v="45"/>
    <n v="23.09"/>
    <n v="41.05"/>
    <n v="13"/>
    <n v="473"/>
    <n v="133"/>
    <s v="On-Time"/>
    <x v="0"/>
  </r>
  <r>
    <n v="194"/>
    <s v="2025-05-05"/>
    <s v="SKU-1017"/>
    <x v="0"/>
    <x v="0"/>
    <s v="South"/>
    <s v="Beta Supply Co"/>
    <n v="75"/>
    <n v="78.81"/>
    <n v="129.88999999999999"/>
    <n v="5"/>
    <n v="315"/>
    <n v="81"/>
    <s v="On-Time"/>
    <x v="0"/>
  </r>
  <r>
    <n v="195"/>
    <s v="2025-01-03"/>
    <s v="SKU-1001"/>
    <x v="1"/>
    <x v="2"/>
    <s v="North"/>
    <s v="Delta Sourcing"/>
    <n v="174"/>
    <n v="162.84"/>
    <n v="219.85"/>
    <n v="17"/>
    <n v="51"/>
    <n v="55"/>
    <s v="Late"/>
    <x v="1"/>
  </r>
  <r>
    <n v="196"/>
    <s v="2025-02-15"/>
    <s v="SKU-1015"/>
    <x v="2"/>
    <x v="2"/>
    <s v="Central"/>
    <s v="Alpha Traders"/>
    <n v="152"/>
    <n v="109.56"/>
    <n v="178.06"/>
    <n v="12"/>
    <n v="146"/>
    <n v="35"/>
    <s v="On-Time"/>
    <x v="0"/>
  </r>
  <r>
    <n v="197"/>
    <s v="2025-09-11"/>
    <s v="SKU-1005"/>
    <x v="2"/>
    <x v="0"/>
    <s v="North"/>
    <s v="Alpha Traders"/>
    <n v="95"/>
    <n v="71.349999999999994"/>
    <n v="107.66"/>
    <n v="3"/>
    <n v="428"/>
    <n v="121"/>
    <s v="On-Time"/>
    <x v="0"/>
  </r>
  <r>
    <n v="198"/>
    <s v="2025-09-26"/>
    <s v="SKU-1000"/>
    <x v="1"/>
    <x v="2"/>
    <s v="Central"/>
    <s v="Delta Sourcing"/>
    <n v="59"/>
    <n v="119.91"/>
    <n v="173.77"/>
    <n v="12"/>
    <n v="145"/>
    <n v="136"/>
    <s v="On-Time"/>
    <x v="0"/>
  </r>
  <r>
    <n v="199"/>
    <s v="2025-05-12"/>
    <s v="SKU-1008"/>
    <x v="1"/>
    <x v="2"/>
    <s v="Central"/>
    <s v="Gamma Logistics"/>
    <n v="62"/>
    <n v="70.64"/>
    <n v="98.64"/>
    <n v="12"/>
    <n v="83"/>
    <n v="137"/>
    <s v="On-Time"/>
    <x v="1"/>
  </r>
  <r>
    <n v="200"/>
    <s v="2025-08-07"/>
    <s v="SKU-1009"/>
    <x v="0"/>
    <x v="2"/>
    <s v="North"/>
    <s v="Alpha Traders"/>
    <n v="103"/>
    <n v="23.09"/>
    <n v="36.57"/>
    <n v="7"/>
    <n v="312"/>
    <n v="123"/>
    <s v="On-Time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s v="2025-07-14"/>
    <s v="SKU-1007"/>
    <s v="Furniture"/>
    <s v="WH-Islamabad"/>
    <s v="North"/>
    <s v="Beta Supply Co"/>
    <n v="45"/>
    <n v="191.66"/>
    <n v="323.24"/>
    <n v="9"/>
    <n v="443"/>
    <n v="45"/>
    <x v="0"/>
    <s v="Ok"/>
    <n v="78"/>
    <x v="0"/>
  </r>
  <r>
    <n v="2"/>
    <s v="2025-05-06"/>
    <s v="SKU-1011"/>
    <s v="Electronics"/>
    <s v="WH-Lahore"/>
    <s v="North"/>
    <s v="Beta Supply Co"/>
    <n v="141"/>
    <n v="170.26"/>
    <n v="251.58"/>
    <n v="4"/>
    <n v="311"/>
    <n v="63"/>
    <x v="0"/>
    <s v="Ok"/>
    <n v="78"/>
    <x v="0"/>
  </r>
  <r>
    <n v="3"/>
    <s v="2025-06-11"/>
    <s v="SKU-1021"/>
    <s v="Furniture"/>
    <s v="WH-Karachi"/>
    <s v="South"/>
    <s v="Gamma Logistics"/>
    <n v="33"/>
    <n v="173.03"/>
    <n v="252.99"/>
    <n v="9"/>
    <n v="420"/>
    <n v="28"/>
    <x v="0"/>
    <s v="Ok"/>
    <n v="65"/>
    <x v="0"/>
  </r>
  <r>
    <n v="4"/>
    <s v="2025-03-13"/>
    <s v="SKU-1006"/>
    <s v="Electronics"/>
    <s v="WH-Islamabad"/>
    <s v="Central"/>
    <s v="Gamma Logistics"/>
    <n v="207"/>
    <n v="35.32"/>
    <n v="57.49"/>
    <n v="16"/>
    <n v="73"/>
    <n v="87"/>
    <x v="0"/>
    <s v="Reorder Now"/>
    <n v="65"/>
    <x v="0"/>
  </r>
  <r>
    <n v="5"/>
    <s v="2025-09-18"/>
    <s v="SKU-1023"/>
    <s v="Apparel"/>
    <s v="WH-Karachi"/>
    <s v="South"/>
    <s v="Beta Supply Co"/>
    <n v="209"/>
    <n v="142.38999999999999"/>
    <n v="226.73"/>
    <n v="13"/>
    <n v="112"/>
    <n v="55"/>
    <x v="0"/>
    <s v="Ok"/>
    <n v="78"/>
    <x v="0"/>
  </r>
  <r>
    <n v="6"/>
    <s v="2025-07-15"/>
    <s v="SKU-1020"/>
    <s v="Apparel"/>
    <s v="WH-Lahore"/>
    <s v="Central"/>
    <s v="Gamma Logistics"/>
    <n v="221"/>
    <n v="125.61"/>
    <n v="173.34"/>
    <n v="21"/>
    <n v="32"/>
    <n v="118"/>
    <x v="0"/>
    <s v="Reorder Now"/>
    <n v="65"/>
    <x v="0"/>
  </r>
  <r>
    <n v="7"/>
    <s v="2025-06-24"/>
    <s v="SKU-1017"/>
    <s v="Furniture"/>
    <s v="WH-Lahore"/>
    <s v="South"/>
    <s v="Delta Sourcing"/>
    <n v="10"/>
    <n v="78.81"/>
    <n v="136.37"/>
    <n v="5"/>
    <n v="349"/>
    <n v="88"/>
    <x v="0"/>
    <s v="Ok"/>
    <n v="88"/>
    <x v="1"/>
  </r>
  <r>
    <n v="8"/>
    <s v="2025-09-17"/>
    <s v="SKU-1000"/>
    <s v="Electronics"/>
    <s v="WH-Islamabad"/>
    <s v="North"/>
    <s v="Beta Supply Co"/>
    <n v="139"/>
    <n v="119.91"/>
    <n v="213.07"/>
    <n v="18"/>
    <n v="390"/>
    <n v="65"/>
    <x v="1"/>
    <s v="Ok"/>
    <n v="78"/>
    <x v="0"/>
  </r>
  <r>
    <n v="9"/>
    <s v="2025-06-15"/>
    <s v="SKU-1004"/>
    <s v="Apparel"/>
    <s v="WH-Karachi"/>
    <s v="North"/>
    <s v="Gamma Logistics"/>
    <n v="87"/>
    <n v="141.13999999999999"/>
    <n v="209.87"/>
    <n v="19"/>
    <n v="488"/>
    <n v="20"/>
    <x v="0"/>
    <s v="Ok"/>
    <n v="65"/>
    <x v="0"/>
  </r>
  <r>
    <n v="10"/>
    <s v="2025-02-05"/>
    <s v="SKU-1007"/>
    <s v="Furniture"/>
    <s v="WH-Islamabad"/>
    <s v="South"/>
    <s v="Beta Supply Co"/>
    <n v="295"/>
    <n v="191.66"/>
    <n v="254.71"/>
    <n v="4"/>
    <n v="43"/>
    <n v="144"/>
    <x v="1"/>
    <s v="Reorder Now"/>
    <n v="78"/>
    <x v="0"/>
  </r>
  <r>
    <n v="11"/>
    <s v="2025-04-19"/>
    <s v="SKU-1021"/>
    <s v="Furniture"/>
    <s v="WH-Islamabad"/>
    <s v="Central"/>
    <s v="Beta Supply Co"/>
    <n v="286"/>
    <n v="173.03"/>
    <n v="266.06"/>
    <n v="7"/>
    <n v="135"/>
    <n v="128"/>
    <x v="1"/>
    <s v="Ok"/>
    <n v="78"/>
    <x v="0"/>
  </r>
  <r>
    <n v="12"/>
    <s v="2025-03-03"/>
    <s v="SKU-1022"/>
    <s v="Sports"/>
    <s v="WH-Karachi"/>
    <s v="North"/>
    <s v="Alpha Traders"/>
    <n v="196"/>
    <n v="117.58"/>
    <n v="171.18"/>
    <n v="16"/>
    <n v="460"/>
    <n v="135"/>
    <x v="0"/>
    <s v="Ok"/>
    <n v="92"/>
    <x v="1"/>
  </r>
  <r>
    <n v="13"/>
    <s v="2025-04-28"/>
    <s v="SKU-1018"/>
    <s v="Electronics"/>
    <s v="WH-Karachi"/>
    <s v="North"/>
    <s v="Alpha Traders"/>
    <n v="117"/>
    <n v="112.65"/>
    <n v="177.64"/>
    <n v="2"/>
    <n v="36"/>
    <n v="35"/>
    <x v="0"/>
    <s v="Ok"/>
    <n v="92"/>
    <x v="1"/>
  </r>
  <r>
    <n v="14"/>
    <s v="2025-08-31"/>
    <s v="SKU-1016"/>
    <s v="Furniture"/>
    <s v="WH-Lahore"/>
    <s v="North"/>
    <s v="Beta Supply Co"/>
    <n v="253"/>
    <n v="194.76"/>
    <n v="276.36"/>
    <n v="8"/>
    <n v="276"/>
    <n v="53"/>
    <x v="0"/>
    <s v="Ok"/>
    <n v="78"/>
    <x v="0"/>
  </r>
  <r>
    <n v="15"/>
    <s v="2025-08-28"/>
    <s v="SKU-1003"/>
    <s v="Apparel"/>
    <s v="WH-Karachi"/>
    <s v="Central"/>
    <s v="Alpha Traders"/>
    <n v="225"/>
    <n v="162.13"/>
    <n v="218.63"/>
    <n v="13"/>
    <n v="216"/>
    <n v="125"/>
    <x v="1"/>
    <s v="Ok"/>
    <n v="92"/>
    <x v="1"/>
  </r>
  <r>
    <n v="16"/>
    <s v="2025-04-08"/>
    <s v="SKU-1001"/>
    <s v="Electronics"/>
    <s v="WH-Karachi"/>
    <s v="North"/>
    <s v="Beta Supply Co"/>
    <n v="178"/>
    <n v="162.84"/>
    <n v="244.47"/>
    <n v="5"/>
    <n v="127"/>
    <n v="69"/>
    <x v="0"/>
    <s v="Ok"/>
    <n v="78"/>
    <x v="0"/>
  </r>
  <r>
    <n v="17"/>
    <s v="2025-01-26"/>
    <s v="SKU-1008"/>
    <s v="Electronics"/>
    <s v="WH-Islamabad"/>
    <s v="South"/>
    <s v="Alpha Traders"/>
    <n v="43"/>
    <n v="70.64"/>
    <n v="108.17"/>
    <n v="16"/>
    <n v="413"/>
    <n v="45"/>
    <x v="0"/>
    <s v="Ok"/>
    <n v="92"/>
    <x v="1"/>
  </r>
  <r>
    <n v="18"/>
    <s v="2025-04-20"/>
    <s v="SKU-1024"/>
    <s v="Sports"/>
    <s v="WH-Karachi"/>
    <s v="South"/>
    <s v="Delta Sourcing"/>
    <n v="90"/>
    <n v="13.94"/>
    <n v="24.04"/>
    <n v="15"/>
    <n v="248"/>
    <n v="143"/>
    <x v="1"/>
    <s v="Ok"/>
    <n v="88"/>
    <x v="1"/>
  </r>
  <r>
    <n v="19"/>
    <s v="2025-09-07"/>
    <s v="SKU-1000"/>
    <s v="Electronics"/>
    <s v="WH-Lahore"/>
    <s v="South"/>
    <s v="Alpha Traders"/>
    <n v="140"/>
    <n v="119.91"/>
    <n v="214.96"/>
    <n v="16"/>
    <n v="146"/>
    <n v="128"/>
    <x v="0"/>
    <s v="Ok"/>
    <n v="92"/>
    <x v="1"/>
  </r>
  <r>
    <n v="20"/>
    <s v="2025-09-02"/>
    <s v="SKU-1018"/>
    <s v="Electronics"/>
    <s v="WH-Islamabad"/>
    <s v="South"/>
    <s v="Alpha Traders"/>
    <n v="36"/>
    <n v="112.65"/>
    <n v="187.89"/>
    <n v="12"/>
    <n v="29"/>
    <n v="32"/>
    <x v="0"/>
    <s v="Reorder Now"/>
    <n v="92"/>
    <x v="1"/>
  </r>
  <r>
    <n v="21"/>
    <s v="2025-05-01"/>
    <s v="SKU-1016"/>
    <s v="Furniture"/>
    <s v="WH-Islamabad"/>
    <s v="South"/>
    <s v="Alpha Traders"/>
    <n v="100"/>
    <n v="194.76"/>
    <n v="260.99"/>
    <n v="4"/>
    <n v="304"/>
    <n v="37"/>
    <x v="0"/>
    <s v="Ok"/>
    <n v="92"/>
    <x v="1"/>
  </r>
  <r>
    <n v="22"/>
    <s v="2025-04-15"/>
    <s v="SKU-1019"/>
    <s v="Furniture"/>
    <s v="WH-Lahore"/>
    <s v="South"/>
    <s v="Gamma Logistics"/>
    <n v="294"/>
    <n v="166.73"/>
    <n v="223.58"/>
    <n v="18"/>
    <n v="161"/>
    <n v="86"/>
    <x v="0"/>
    <s v="Ok"/>
    <n v="65"/>
    <x v="0"/>
  </r>
  <r>
    <n v="23"/>
    <s v="2025-01-05"/>
    <s v="SKU-1012"/>
    <s v="Electronics"/>
    <s v="WH-Islamabad"/>
    <s v="South"/>
    <s v="Alpha Traders"/>
    <n v="158"/>
    <n v="122.73"/>
    <n v="167.58"/>
    <n v="16"/>
    <n v="161"/>
    <n v="38"/>
    <x v="0"/>
    <s v="Ok"/>
    <n v="92"/>
    <x v="1"/>
  </r>
  <r>
    <n v="24"/>
    <s v="2025-02-05"/>
    <s v="SKU-1017"/>
    <s v="Furniture"/>
    <s v="WH-Lahore"/>
    <s v="North"/>
    <s v="Beta Supply Co"/>
    <n v="140"/>
    <n v="78.81"/>
    <n v="110.85"/>
    <n v="6"/>
    <n v="477"/>
    <n v="109"/>
    <x v="1"/>
    <s v="Ok"/>
    <n v="78"/>
    <x v="0"/>
  </r>
  <r>
    <n v="25"/>
    <s v="2025-06-03"/>
    <s v="SKU-1014"/>
    <s v="Apparel"/>
    <s v="WH-Karachi"/>
    <s v="South"/>
    <s v="Gamma Logistics"/>
    <n v="159"/>
    <n v="147.30000000000001"/>
    <n v="252.9"/>
    <n v="21"/>
    <n v="413"/>
    <n v="22"/>
    <x v="1"/>
    <s v="Ok"/>
    <n v="65"/>
    <x v="0"/>
  </r>
  <r>
    <n v="26"/>
    <s v="2025-04-18"/>
    <s v="SKU-1003"/>
    <s v="Apparel"/>
    <s v="WH-Karachi"/>
    <s v="Central"/>
    <s v="Gamma Logistics"/>
    <n v="288"/>
    <n v="162.13"/>
    <n v="282.89"/>
    <n v="6"/>
    <n v="139"/>
    <n v="92"/>
    <x v="0"/>
    <s v="Ok"/>
    <n v="65"/>
    <x v="0"/>
  </r>
  <r>
    <n v="27"/>
    <s v="2025-05-22"/>
    <s v="SKU-1016"/>
    <s v="Furniture"/>
    <s v="WH-Lahore"/>
    <s v="South"/>
    <s v="Gamma Logistics"/>
    <n v="31"/>
    <n v="194.76"/>
    <n v="300.76"/>
    <n v="4"/>
    <n v="324"/>
    <n v="128"/>
    <x v="0"/>
    <s v="Ok"/>
    <n v="65"/>
    <x v="0"/>
  </r>
  <r>
    <n v="28"/>
    <s v="2025-02-27"/>
    <s v="SKU-1005"/>
    <s v="Apparel"/>
    <s v="WH-Islamabad"/>
    <s v="South"/>
    <s v="Alpha Traders"/>
    <n v="287"/>
    <n v="71.349999999999994"/>
    <n v="119.2"/>
    <n v="15"/>
    <n v="287"/>
    <n v="22"/>
    <x v="0"/>
    <s v="Ok"/>
    <n v="92"/>
    <x v="1"/>
  </r>
  <r>
    <n v="29"/>
    <s v="2025-06-07"/>
    <s v="SKU-1011"/>
    <s v="Electronics"/>
    <s v="WH-Karachi"/>
    <s v="North"/>
    <s v="Beta Supply Co"/>
    <n v="80"/>
    <n v="170.26"/>
    <n v="270.93"/>
    <n v="15"/>
    <n v="65"/>
    <n v="30"/>
    <x v="0"/>
    <s v="Ok"/>
    <n v="78"/>
    <x v="0"/>
  </r>
  <r>
    <n v="30"/>
    <s v="2025-03-21"/>
    <s v="SKU-1021"/>
    <s v="Furniture"/>
    <s v="WH-Karachi"/>
    <s v="South"/>
    <s v="Beta Supply Co"/>
    <n v="57"/>
    <n v="173.03"/>
    <n v="246.53"/>
    <n v="13"/>
    <n v="399"/>
    <n v="124"/>
    <x v="1"/>
    <s v="Ok"/>
    <n v="78"/>
    <x v="0"/>
  </r>
  <r>
    <n v="31"/>
    <s v="2025-05-17"/>
    <s v="SKU-1013"/>
    <s v="Electronics"/>
    <s v="WH-Islamabad"/>
    <s v="South"/>
    <s v="Delta Sourcing"/>
    <n v="175"/>
    <n v="162.38999999999999"/>
    <n v="213.12"/>
    <n v="15"/>
    <n v="410"/>
    <n v="83"/>
    <x v="0"/>
    <s v="Ok"/>
    <n v="88"/>
    <x v="1"/>
  </r>
  <r>
    <n v="32"/>
    <s v="2025-06-29"/>
    <s v="SKU-1001"/>
    <s v="Electronics"/>
    <s v="WH-Karachi"/>
    <s v="South"/>
    <s v="Alpha Traders"/>
    <n v="118"/>
    <n v="162.84"/>
    <n v="281.60000000000002"/>
    <n v="8"/>
    <n v="418"/>
    <n v="137"/>
    <x v="0"/>
    <s v="Ok"/>
    <n v="92"/>
    <x v="1"/>
  </r>
  <r>
    <n v="33"/>
    <s v="2025-05-23"/>
    <s v="SKU-1021"/>
    <s v="Furniture"/>
    <s v="WH-Islamabad"/>
    <s v="North"/>
    <s v="Gamma Logistics"/>
    <n v="173"/>
    <n v="173.03"/>
    <n v="241.65"/>
    <n v="10"/>
    <n v="442"/>
    <n v="37"/>
    <x v="0"/>
    <s v="Ok"/>
    <n v="65"/>
    <x v="0"/>
  </r>
  <r>
    <n v="34"/>
    <s v="2025-01-20"/>
    <s v="SKU-1000"/>
    <s v="Electronics"/>
    <s v="WH-Lahore"/>
    <s v="North"/>
    <s v="Gamma Logistics"/>
    <n v="138"/>
    <n v="119.91"/>
    <n v="162.80000000000001"/>
    <n v="7"/>
    <n v="297"/>
    <n v="87"/>
    <x v="0"/>
    <s v="Ok"/>
    <n v="65"/>
    <x v="0"/>
  </r>
  <r>
    <n v="35"/>
    <s v="2025-05-11"/>
    <s v="SKU-1013"/>
    <s v="Electronics"/>
    <s v="WH-Lahore"/>
    <s v="South"/>
    <s v="Beta Supply Co"/>
    <n v="266"/>
    <n v="162.38999999999999"/>
    <n v="260.33"/>
    <n v="5"/>
    <n v="197"/>
    <n v="68"/>
    <x v="0"/>
    <s v="Ok"/>
    <n v="78"/>
    <x v="0"/>
  </r>
  <r>
    <n v="36"/>
    <s v="2025-06-03"/>
    <s v="SKU-1011"/>
    <s v="Electronics"/>
    <s v="WH-Islamabad"/>
    <s v="North"/>
    <s v="Gamma Logistics"/>
    <n v="174"/>
    <n v="170.26"/>
    <n v="258.05"/>
    <n v="21"/>
    <n v="160"/>
    <n v="51"/>
    <x v="0"/>
    <s v="Ok"/>
    <n v="65"/>
    <x v="0"/>
  </r>
  <r>
    <n v="37"/>
    <s v="2025-07-14"/>
    <s v="SKU-1012"/>
    <s v="Electronics"/>
    <s v="WH-Karachi"/>
    <s v="Central"/>
    <s v="Gamma Logistics"/>
    <n v="288"/>
    <n v="122.73"/>
    <n v="202.33"/>
    <n v="6"/>
    <n v="98"/>
    <n v="127"/>
    <x v="0"/>
    <s v="Reorder Now"/>
    <n v="65"/>
    <x v="0"/>
  </r>
  <r>
    <n v="38"/>
    <s v="2025-08-09"/>
    <s v="SKU-1012"/>
    <s v="Electronics"/>
    <s v="WH-Islamabad"/>
    <s v="Central"/>
    <s v="Gamma Logistics"/>
    <n v="5"/>
    <n v="122.73"/>
    <n v="193.17"/>
    <n v="11"/>
    <n v="146"/>
    <n v="73"/>
    <x v="1"/>
    <s v="Ok"/>
    <n v="65"/>
    <x v="0"/>
  </r>
  <r>
    <n v="39"/>
    <s v="2025-02-13"/>
    <s v="SKU-1014"/>
    <s v="Apparel"/>
    <s v="WH-Islamabad"/>
    <s v="Central"/>
    <s v="Gamma Logistics"/>
    <n v="114"/>
    <n v="147.30000000000001"/>
    <n v="224.03"/>
    <n v="18"/>
    <n v="242"/>
    <n v="63"/>
    <x v="0"/>
    <s v="Ok"/>
    <n v="65"/>
    <x v="0"/>
  </r>
  <r>
    <n v="40"/>
    <s v="2025-03-17"/>
    <s v="SKU-1002"/>
    <s v="Home Goods"/>
    <s v="WH-Karachi"/>
    <s v="North"/>
    <s v="Alpha Traders"/>
    <n v="125"/>
    <n v="6.27"/>
    <n v="10.72"/>
    <n v="11"/>
    <n v="115"/>
    <n v="70"/>
    <x v="0"/>
    <s v="Ok"/>
    <n v="92"/>
    <x v="1"/>
  </r>
  <r>
    <n v="41"/>
    <s v="2025-09-11"/>
    <s v="SKU-1014"/>
    <s v="Apparel"/>
    <s v="WH-Karachi"/>
    <s v="Central"/>
    <s v="Alpha Traders"/>
    <n v="299"/>
    <n v="147.30000000000001"/>
    <n v="222.01"/>
    <n v="8"/>
    <n v="367"/>
    <n v="118"/>
    <x v="0"/>
    <s v="Ok"/>
    <n v="92"/>
    <x v="1"/>
  </r>
  <r>
    <n v="42"/>
    <s v="2025-09-23"/>
    <s v="SKU-1024"/>
    <s v="Sports"/>
    <s v="WH-Islamabad"/>
    <s v="South"/>
    <s v="Alpha Traders"/>
    <n v="59"/>
    <n v="13.94"/>
    <n v="24.12"/>
    <n v="15"/>
    <n v="112"/>
    <n v="65"/>
    <x v="0"/>
    <s v="Ok"/>
    <n v="92"/>
    <x v="1"/>
  </r>
  <r>
    <n v="43"/>
    <s v="2025-08-15"/>
    <s v="SKU-1014"/>
    <s v="Apparel"/>
    <s v="WH-Islamabad"/>
    <s v="Central"/>
    <s v="Delta Sourcing"/>
    <n v="242"/>
    <n v="147.30000000000001"/>
    <n v="201.31"/>
    <n v="18"/>
    <n v="286"/>
    <n v="101"/>
    <x v="0"/>
    <s v="Ok"/>
    <n v="88"/>
    <x v="1"/>
  </r>
  <r>
    <n v="44"/>
    <s v="2025-05-07"/>
    <s v="SKU-1017"/>
    <s v="Furniture"/>
    <s v="WH-Lahore"/>
    <s v="Central"/>
    <s v="Delta Sourcing"/>
    <n v="86"/>
    <n v="78.81"/>
    <n v="120.02"/>
    <n v="17"/>
    <n v="230"/>
    <n v="86"/>
    <x v="1"/>
    <s v="Ok"/>
    <n v="88"/>
    <x v="1"/>
  </r>
  <r>
    <n v="45"/>
    <s v="2025-05-01"/>
    <s v="SKU-1020"/>
    <s v="Apparel"/>
    <s v="WH-Lahore"/>
    <s v="Central"/>
    <s v="Alpha Traders"/>
    <n v="230"/>
    <n v="125.61"/>
    <n v="178.32"/>
    <n v="4"/>
    <n v="365"/>
    <n v="93"/>
    <x v="0"/>
    <s v="Ok"/>
    <n v="92"/>
    <x v="1"/>
  </r>
  <r>
    <n v="46"/>
    <s v="2025-02-02"/>
    <s v="SKU-1004"/>
    <s v="Apparel"/>
    <s v="WH-Lahore"/>
    <s v="Central"/>
    <s v="Delta Sourcing"/>
    <n v="201"/>
    <n v="141.13999999999999"/>
    <n v="194.13"/>
    <n v="6"/>
    <n v="361"/>
    <n v="74"/>
    <x v="0"/>
    <s v="Ok"/>
    <n v="88"/>
    <x v="1"/>
  </r>
  <r>
    <n v="47"/>
    <s v="2025-07-14"/>
    <s v="SKU-1013"/>
    <s v="Electronics"/>
    <s v="WH-Lahore"/>
    <s v="North"/>
    <s v="Delta Sourcing"/>
    <n v="220"/>
    <n v="162.38999999999999"/>
    <n v="216.16"/>
    <n v="14"/>
    <n v="463"/>
    <n v="25"/>
    <x v="0"/>
    <s v="Ok"/>
    <n v="88"/>
    <x v="1"/>
  </r>
  <r>
    <n v="48"/>
    <s v="2025-09-07"/>
    <s v="SKU-1013"/>
    <s v="Electronics"/>
    <s v="WH-Lahore"/>
    <s v="North"/>
    <s v="Alpha Traders"/>
    <n v="284"/>
    <n v="162.38999999999999"/>
    <n v="254.81"/>
    <n v="21"/>
    <n v="459"/>
    <n v="76"/>
    <x v="0"/>
    <s v="Ok"/>
    <n v="92"/>
    <x v="1"/>
  </r>
  <r>
    <n v="49"/>
    <s v="2025-03-07"/>
    <s v="SKU-1012"/>
    <s v="Electronics"/>
    <s v="WH-Islamabad"/>
    <s v="South"/>
    <s v="Delta Sourcing"/>
    <n v="212"/>
    <n v="122.73"/>
    <n v="180.18"/>
    <n v="7"/>
    <n v="430"/>
    <n v="139"/>
    <x v="1"/>
    <s v="Ok"/>
    <n v="88"/>
    <x v="1"/>
  </r>
  <r>
    <n v="50"/>
    <s v="2025-03-11"/>
    <s v="SKU-1018"/>
    <s v="Electronics"/>
    <s v="WH-Karachi"/>
    <s v="South"/>
    <s v="Gamma Logistics"/>
    <n v="18"/>
    <n v="112.65"/>
    <n v="178.23"/>
    <n v="4"/>
    <n v="329"/>
    <n v="129"/>
    <x v="1"/>
    <s v="Ok"/>
    <n v="65"/>
    <x v="0"/>
  </r>
  <r>
    <n v="51"/>
    <s v="2025-05-23"/>
    <s v="SKU-1012"/>
    <s v="Electronics"/>
    <s v="WH-Lahore"/>
    <s v="North"/>
    <s v="Alpha Traders"/>
    <n v="237"/>
    <n v="122.73"/>
    <n v="179.64"/>
    <n v="12"/>
    <n v="172"/>
    <n v="117"/>
    <x v="0"/>
    <s v="Ok"/>
    <n v="92"/>
    <x v="1"/>
  </r>
  <r>
    <n v="52"/>
    <s v="2025-04-25"/>
    <s v="SKU-1015"/>
    <s v="Apparel"/>
    <s v="WH-Islamabad"/>
    <s v="South"/>
    <s v="Alpha Traders"/>
    <n v="281"/>
    <n v="109.56"/>
    <n v="143.49"/>
    <n v="3"/>
    <n v="487"/>
    <n v="109"/>
    <x v="0"/>
    <s v="Ok"/>
    <n v="92"/>
    <x v="1"/>
  </r>
  <r>
    <n v="53"/>
    <s v="2025-03-06"/>
    <s v="SKU-1007"/>
    <s v="Furniture"/>
    <s v="WH-Karachi"/>
    <s v="Central"/>
    <s v="Beta Supply Co"/>
    <n v="15"/>
    <n v="191.66"/>
    <n v="268.26"/>
    <n v="21"/>
    <n v="78"/>
    <n v="81"/>
    <x v="0"/>
    <s v="Reorder Now"/>
    <n v="78"/>
    <x v="0"/>
  </r>
  <r>
    <n v="54"/>
    <s v="2025-03-25"/>
    <s v="SKU-1014"/>
    <s v="Apparel"/>
    <s v="WH-Karachi"/>
    <s v="Central"/>
    <s v="Alpha Traders"/>
    <n v="193"/>
    <n v="147.30000000000001"/>
    <n v="243.01"/>
    <n v="7"/>
    <n v="310"/>
    <n v="49"/>
    <x v="1"/>
    <s v="Ok"/>
    <n v="92"/>
    <x v="1"/>
  </r>
  <r>
    <n v="55"/>
    <s v="2025-02-08"/>
    <s v="SKU-1009"/>
    <s v="Furniture"/>
    <s v="WH-Islamabad"/>
    <s v="South"/>
    <s v="Alpha Traders"/>
    <n v="197"/>
    <n v="23.09"/>
    <n v="36.659999999999997"/>
    <n v="14"/>
    <n v="482"/>
    <n v="70"/>
    <x v="0"/>
    <s v="Ok"/>
    <n v="92"/>
    <x v="1"/>
  </r>
  <r>
    <n v="56"/>
    <s v="2025-06-27"/>
    <s v="SKU-1022"/>
    <s v="Sports"/>
    <s v="WH-Islamabad"/>
    <s v="North"/>
    <s v="Alpha Traders"/>
    <n v="66"/>
    <n v="117.58"/>
    <n v="198.27"/>
    <n v="20"/>
    <n v="400"/>
    <n v="30"/>
    <x v="0"/>
    <s v="Ok"/>
    <n v="92"/>
    <x v="1"/>
  </r>
  <r>
    <n v="57"/>
    <s v="2025-02-24"/>
    <s v="SKU-1016"/>
    <s v="Furniture"/>
    <s v="WH-Lahore"/>
    <s v="Central"/>
    <s v="Delta Sourcing"/>
    <n v="11"/>
    <n v="194.76"/>
    <n v="316.25"/>
    <n v="15"/>
    <n v="421"/>
    <n v="145"/>
    <x v="0"/>
    <s v="Ok"/>
    <n v="88"/>
    <x v="1"/>
  </r>
  <r>
    <n v="58"/>
    <s v="2025-09-05"/>
    <s v="SKU-1022"/>
    <s v="Sports"/>
    <s v="WH-Islamabad"/>
    <s v="Central"/>
    <s v="Gamma Logistics"/>
    <n v="95"/>
    <n v="117.58"/>
    <n v="161.85"/>
    <n v="18"/>
    <n v="494"/>
    <n v="89"/>
    <x v="0"/>
    <s v="Ok"/>
    <n v="65"/>
    <x v="0"/>
  </r>
  <r>
    <n v="59"/>
    <s v="2025-05-05"/>
    <s v="SKU-1010"/>
    <s v="Sports"/>
    <s v="WH-Islamabad"/>
    <s v="Central"/>
    <s v="Delta Sourcing"/>
    <n v="49"/>
    <n v="23.86"/>
    <n v="41.18"/>
    <n v="10"/>
    <n v="451"/>
    <n v="135"/>
    <x v="0"/>
    <s v="Ok"/>
    <n v="88"/>
    <x v="1"/>
  </r>
  <r>
    <n v="60"/>
    <s v="2025-07-01"/>
    <s v="SKU-1010"/>
    <s v="Sports"/>
    <s v="WH-Lahore"/>
    <s v="North"/>
    <s v="Gamma Logistics"/>
    <n v="171"/>
    <n v="23.86"/>
    <n v="31.36"/>
    <n v="7"/>
    <n v="249"/>
    <n v="74"/>
    <x v="1"/>
    <s v="Ok"/>
    <n v="65"/>
    <x v="0"/>
  </r>
  <r>
    <n v="61"/>
    <s v="2025-09-08"/>
    <s v="SKU-1017"/>
    <s v="Furniture"/>
    <s v="WH-Karachi"/>
    <s v="Central"/>
    <s v="Delta Sourcing"/>
    <n v="102"/>
    <n v="78.81"/>
    <n v="102.85"/>
    <n v="4"/>
    <n v="123"/>
    <n v="124"/>
    <x v="0"/>
    <s v="Reorder Now"/>
    <n v="88"/>
    <x v="1"/>
  </r>
  <r>
    <n v="62"/>
    <s v="2025-04-24"/>
    <s v="SKU-1020"/>
    <s v="Apparel"/>
    <s v="WH-Karachi"/>
    <s v="North"/>
    <s v="Gamma Logistics"/>
    <n v="234"/>
    <n v="125.61"/>
    <n v="208"/>
    <n v="2"/>
    <n v="47"/>
    <n v="95"/>
    <x v="0"/>
    <s v="Reorder Now"/>
    <n v="65"/>
    <x v="0"/>
  </r>
  <r>
    <n v="63"/>
    <s v="2025-06-30"/>
    <s v="SKU-1015"/>
    <s v="Apparel"/>
    <s v="WH-Lahore"/>
    <s v="North"/>
    <s v="Gamma Logistics"/>
    <n v="181"/>
    <n v="109.56"/>
    <n v="172.75"/>
    <n v="15"/>
    <n v="381"/>
    <n v="104"/>
    <x v="0"/>
    <s v="Ok"/>
    <n v="65"/>
    <x v="0"/>
  </r>
  <r>
    <n v="64"/>
    <s v="2025-04-09"/>
    <s v="SKU-1007"/>
    <s v="Furniture"/>
    <s v="WH-Lahore"/>
    <s v="North"/>
    <s v="Gamma Logistics"/>
    <n v="103"/>
    <n v="191.66"/>
    <n v="260.72000000000003"/>
    <n v="12"/>
    <n v="61"/>
    <n v="67"/>
    <x v="0"/>
    <s v="Reorder Now"/>
    <n v="65"/>
    <x v="0"/>
  </r>
  <r>
    <n v="65"/>
    <s v="2025-06-04"/>
    <s v="SKU-1003"/>
    <s v="Apparel"/>
    <s v="WH-Islamabad"/>
    <s v="South"/>
    <s v="Gamma Logistics"/>
    <n v="156"/>
    <n v="162.13"/>
    <n v="278.27"/>
    <n v="9"/>
    <n v="184"/>
    <n v="65"/>
    <x v="0"/>
    <s v="Ok"/>
    <n v="65"/>
    <x v="0"/>
  </r>
  <r>
    <n v="66"/>
    <s v="2025-09-09"/>
    <s v="SKU-1001"/>
    <s v="Electronics"/>
    <s v="WH-Karachi"/>
    <s v="Central"/>
    <s v="Gamma Logistics"/>
    <n v="288"/>
    <n v="162.84"/>
    <n v="291.02"/>
    <n v="11"/>
    <n v="357"/>
    <n v="52"/>
    <x v="0"/>
    <s v="Ok"/>
    <n v="65"/>
    <x v="0"/>
  </r>
  <r>
    <n v="67"/>
    <s v="2025-05-10"/>
    <s v="SKU-1015"/>
    <s v="Apparel"/>
    <s v="WH-Lahore"/>
    <s v="South"/>
    <s v="Alpha Traders"/>
    <n v="179"/>
    <n v="109.56"/>
    <n v="168.65"/>
    <n v="7"/>
    <n v="494"/>
    <n v="33"/>
    <x v="1"/>
    <s v="Ok"/>
    <n v="92"/>
    <x v="1"/>
  </r>
  <r>
    <n v="68"/>
    <s v="2025-06-05"/>
    <s v="SKU-1012"/>
    <s v="Electronics"/>
    <s v="WH-Karachi"/>
    <s v="South"/>
    <s v="Delta Sourcing"/>
    <n v="300"/>
    <n v="122.73"/>
    <n v="189.73"/>
    <n v="3"/>
    <n v="77"/>
    <n v="58"/>
    <x v="0"/>
    <s v="Ok"/>
    <n v="88"/>
    <x v="1"/>
  </r>
  <r>
    <n v="69"/>
    <s v="2025-08-15"/>
    <s v="SKU-1019"/>
    <s v="Furniture"/>
    <s v="WH-Islamabad"/>
    <s v="North"/>
    <s v="Gamma Logistics"/>
    <n v="120"/>
    <n v="166.73"/>
    <n v="266.45"/>
    <n v="18"/>
    <n v="194"/>
    <n v="135"/>
    <x v="0"/>
    <s v="Ok"/>
    <n v="65"/>
    <x v="0"/>
  </r>
  <r>
    <n v="70"/>
    <s v="2025-05-16"/>
    <s v="SKU-1018"/>
    <s v="Electronics"/>
    <s v="WH-Karachi"/>
    <s v="South"/>
    <s v="Beta Supply Co"/>
    <n v="55"/>
    <n v="112.65"/>
    <n v="181.42"/>
    <n v="8"/>
    <n v="320"/>
    <n v="74"/>
    <x v="0"/>
    <s v="Ok"/>
    <n v="78"/>
    <x v="0"/>
  </r>
  <r>
    <n v="71"/>
    <s v="2025-05-30"/>
    <s v="SKU-1017"/>
    <s v="Furniture"/>
    <s v="WH-Lahore"/>
    <s v="Central"/>
    <s v="Gamma Logistics"/>
    <n v="6"/>
    <n v="78.81"/>
    <n v="105.41"/>
    <n v="15"/>
    <n v="230"/>
    <n v="140"/>
    <x v="0"/>
    <s v="Ok"/>
    <n v="65"/>
    <x v="0"/>
  </r>
  <r>
    <n v="72"/>
    <s v="2025-04-12"/>
    <s v="SKU-1022"/>
    <s v="Sports"/>
    <s v="WH-Islamabad"/>
    <s v="South"/>
    <s v="Beta Supply Co"/>
    <n v="41"/>
    <n v="117.58"/>
    <n v="203.39"/>
    <n v="9"/>
    <n v="473"/>
    <n v="87"/>
    <x v="0"/>
    <s v="Ok"/>
    <n v="78"/>
    <x v="0"/>
  </r>
  <r>
    <n v="73"/>
    <s v="2025-05-28"/>
    <s v="SKU-1008"/>
    <s v="Electronics"/>
    <s v="WH-Lahore"/>
    <s v="Central"/>
    <s v="Gamma Logistics"/>
    <n v="41"/>
    <n v="70.64"/>
    <n v="121.03"/>
    <n v="3"/>
    <n v="84"/>
    <n v="98"/>
    <x v="0"/>
    <s v="Reorder Now"/>
    <n v="65"/>
    <x v="0"/>
  </r>
  <r>
    <n v="74"/>
    <s v="2025-08-13"/>
    <s v="SKU-1022"/>
    <s v="Sports"/>
    <s v="WH-Karachi"/>
    <s v="North"/>
    <s v="Gamma Logistics"/>
    <n v="144"/>
    <n v="117.58"/>
    <n v="176.52"/>
    <n v="18"/>
    <n v="276"/>
    <n v="146"/>
    <x v="0"/>
    <s v="Ok"/>
    <n v="65"/>
    <x v="0"/>
  </r>
  <r>
    <n v="75"/>
    <s v="2025-05-18"/>
    <s v="SKU-1019"/>
    <s v="Furniture"/>
    <s v="WH-Karachi"/>
    <s v="North"/>
    <s v="Delta Sourcing"/>
    <n v="51"/>
    <n v="166.73"/>
    <n v="237.62"/>
    <n v="9"/>
    <n v="492"/>
    <n v="25"/>
    <x v="0"/>
    <s v="Ok"/>
    <n v="88"/>
    <x v="1"/>
  </r>
  <r>
    <n v="76"/>
    <s v="2025-08-29"/>
    <s v="SKU-1008"/>
    <s v="Electronics"/>
    <s v="WH-Lahore"/>
    <s v="North"/>
    <s v="Alpha Traders"/>
    <n v="228"/>
    <n v="70.64"/>
    <n v="98.24"/>
    <n v="17"/>
    <n v="496"/>
    <n v="43"/>
    <x v="0"/>
    <s v="Ok"/>
    <n v="92"/>
    <x v="1"/>
  </r>
  <r>
    <n v="77"/>
    <s v="2025-01-19"/>
    <s v="SKU-1005"/>
    <s v="Apparel"/>
    <s v="WH-Lahore"/>
    <s v="North"/>
    <s v="Gamma Logistics"/>
    <n v="258"/>
    <n v="71.349999999999994"/>
    <n v="104.52"/>
    <n v="11"/>
    <n v="339"/>
    <n v="122"/>
    <x v="0"/>
    <s v="Ok"/>
    <n v="65"/>
    <x v="0"/>
  </r>
  <r>
    <n v="78"/>
    <s v="2025-08-25"/>
    <s v="SKU-1003"/>
    <s v="Apparel"/>
    <s v="WH-Karachi"/>
    <s v="Central"/>
    <s v="Gamma Logistics"/>
    <n v="211"/>
    <n v="162.13"/>
    <n v="289.42"/>
    <n v="18"/>
    <n v="422"/>
    <n v="20"/>
    <x v="0"/>
    <s v="Ok"/>
    <n v="65"/>
    <x v="0"/>
  </r>
  <r>
    <n v="79"/>
    <s v="2025-03-09"/>
    <s v="SKU-1019"/>
    <s v="Furniture"/>
    <s v="WH-Lahore"/>
    <s v="Central"/>
    <s v="Delta Sourcing"/>
    <n v="231"/>
    <n v="166.73"/>
    <n v="279.81"/>
    <n v="3"/>
    <n v="104"/>
    <n v="88"/>
    <x v="1"/>
    <s v="Ok"/>
    <n v="88"/>
    <x v="1"/>
  </r>
  <r>
    <n v="80"/>
    <s v="2025-07-28"/>
    <s v="SKU-1003"/>
    <s v="Apparel"/>
    <s v="WH-Karachi"/>
    <s v="North"/>
    <s v="Alpha Traders"/>
    <n v="127"/>
    <n v="162.13"/>
    <n v="213.11"/>
    <n v="7"/>
    <n v="159"/>
    <n v="23"/>
    <x v="0"/>
    <s v="Ok"/>
    <n v="92"/>
    <x v="1"/>
  </r>
  <r>
    <n v="81"/>
    <s v="2025-08-01"/>
    <s v="SKU-1020"/>
    <s v="Apparel"/>
    <s v="WH-Lahore"/>
    <s v="South"/>
    <s v="Delta Sourcing"/>
    <n v="260"/>
    <n v="125.61"/>
    <n v="215.56"/>
    <n v="11"/>
    <n v="260"/>
    <n v="89"/>
    <x v="1"/>
    <s v="Ok"/>
    <n v="88"/>
    <x v="1"/>
  </r>
  <r>
    <n v="82"/>
    <s v="2025-02-05"/>
    <s v="SKU-1017"/>
    <s v="Furniture"/>
    <s v="WH-Lahore"/>
    <s v="North"/>
    <s v="Gamma Logistics"/>
    <n v="102"/>
    <n v="78.81"/>
    <n v="108.15"/>
    <n v="21"/>
    <n v="260"/>
    <n v="54"/>
    <x v="0"/>
    <s v="Ok"/>
    <n v="65"/>
    <x v="0"/>
  </r>
  <r>
    <n v="83"/>
    <s v="2025-03-18"/>
    <s v="SKU-1000"/>
    <s v="Electronics"/>
    <s v="WH-Lahore"/>
    <s v="North"/>
    <s v="Gamma Logistics"/>
    <n v="157"/>
    <n v="119.91"/>
    <n v="172.84"/>
    <n v="20"/>
    <n v="296"/>
    <n v="145"/>
    <x v="0"/>
    <s v="Ok"/>
    <n v="65"/>
    <x v="0"/>
  </r>
  <r>
    <n v="84"/>
    <s v="2025-04-07"/>
    <s v="SKU-1017"/>
    <s v="Furniture"/>
    <s v="WH-Karachi"/>
    <s v="Central"/>
    <s v="Delta Sourcing"/>
    <n v="198"/>
    <n v="78.81"/>
    <n v="132.51"/>
    <n v="16"/>
    <n v="477"/>
    <n v="102"/>
    <x v="1"/>
    <s v="Ok"/>
    <n v="88"/>
    <x v="1"/>
  </r>
  <r>
    <n v="85"/>
    <s v="2025-07-15"/>
    <s v="SKU-1007"/>
    <s v="Furniture"/>
    <s v="WH-Islamabad"/>
    <s v="Central"/>
    <s v="Beta Supply Co"/>
    <n v="215"/>
    <n v="191.66"/>
    <n v="331.19"/>
    <n v="3"/>
    <n v="162"/>
    <n v="141"/>
    <x v="0"/>
    <s v="Ok"/>
    <n v="78"/>
    <x v="0"/>
  </r>
  <r>
    <n v="86"/>
    <s v="2025-02-21"/>
    <s v="SKU-1015"/>
    <s v="Apparel"/>
    <s v="WH-Lahore"/>
    <s v="South"/>
    <s v="Delta Sourcing"/>
    <n v="69"/>
    <n v="109.56"/>
    <n v="195.28"/>
    <n v="18"/>
    <n v="494"/>
    <n v="104"/>
    <x v="1"/>
    <s v="Ok"/>
    <n v="88"/>
    <x v="1"/>
  </r>
  <r>
    <n v="87"/>
    <s v="2025-05-16"/>
    <s v="SKU-1000"/>
    <s v="Electronics"/>
    <s v="WH-Islamabad"/>
    <s v="North"/>
    <s v="Alpha Traders"/>
    <n v="214"/>
    <n v="119.91"/>
    <n v="199.2"/>
    <n v="6"/>
    <n v="38"/>
    <n v="140"/>
    <x v="0"/>
    <s v="Reorder Now"/>
    <n v="92"/>
    <x v="1"/>
  </r>
  <r>
    <n v="88"/>
    <s v="2025-09-07"/>
    <s v="SKU-1010"/>
    <s v="Sports"/>
    <s v="WH-Karachi"/>
    <s v="Central"/>
    <s v="Alpha Traders"/>
    <n v="278"/>
    <n v="23.86"/>
    <n v="41.19"/>
    <n v="14"/>
    <n v="488"/>
    <n v="101"/>
    <x v="1"/>
    <s v="Ok"/>
    <n v="92"/>
    <x v="1"/>
  </r>
  <r>
    <n v="89"/>
    <s v="2025-08-11"/>
    <s v="SKU-1007"/>
    <s v="Furniture"/>
    <s v="WH-Islamabad"/>
    <s v="Central"/>
    <s v="Alpha Traders"/>
    <n v="152"/>
    <n v="191.66"/>
    <n v="309.64"/>
    <n v="9"/>
    <n v="382"/>
    <n v="43"/>
    <x v="1"/>
    <s v="Ok"/>
    <n v="92"/>
    <x v="1"/>
  </r>
  <r>
    <n v="90"/>
    <s v="2025-01-29"/>
    <s v="SKU-1014"/>
    <s v="Apparel"/>
    <s v="WH-Lahore"/>
    <s v="North"/>
    <s v="Beta Supply Co"/>
    <n v="158"/>
    <n v="147.30000000000001"/>
    <n v="203.74"/>
    <n v="2"/>
    <n v="23"/>
    <n v="103"/>
    <x v="0"/>
    <s v="Reorder Now"/>
    <n v="78"/>
    <x v="0"/>
  </r>
  <r>
    <n v="91"/>
    <s v="2025-02-10"/>
    <s v="SKU-1007"/>
    <s v="Furniture"/>
    <s v="WH-Lahore"/>
    <s v="Central"/>
    <s v="Beta Supply Co"/>
    <n v="294"/>
    <n v="191.66"/>
    <n v="300.06"/>
    <n v="7"/>
    <n v="87"/>
    <n v="64"/>
    <x v="0"/>
    <s v="Ok"/>
    <n v="78"/>
    <x v="0"/>
  </r>
  <r>
    <n v="92"/>
    <s v="2025-08-24"/>
    <s v="SKU-1015"/>
    <s v="Apparel"/>
    <s v="WH-Karachi"/>
    <s v="North"/>
    <s v="Gamma Logistics"/>
    <n v="78"/>
    <n v="109.56"/>
    <n v="192.43"/>
    <n v="9"/>
    <n v="236"/>
    <n v="85"/>
    <x v="0"/>
    <s v="Ok"/>
    <n v="65"/>
    <x v="0"/>
  </r>
  <r>
    <n v="93"/>
    <s v="2025-06-03"/>
    <s v="SKU-1021"/>
    <s v="Furniture"/>
    <s v="WH-Lahore"/>
    <s v="Central"/>
    <s v="Gamma Logistics"/>
    <n v="42"/>
    <n v="173.03"/>
    <n v="272.23"/>
    <n v="16"/>
    <n v="483"/>
    <n v="108"/>
    <x v="0"/>
    <s v="Ok"/>
    <n v="65"/>
    <x v="0"/>
  </r>
  <r>
    <n v="94"/>
    <s v="2025-02-24"/>
    <s v="SKU-1014"/>
    <s v="Apparel"/>
    <s v="WH-Islamabad"/>
    <s v="North"/>
    <s v="Gamma Logistics"/>
    <n v="106"/>
    <n v="147.30000000000001"/>
    <n v="253.75"/>
    <n v="14"/>
    <n v="436"/>
    <n v="143"/>
    <x v="0"/>
    <s v="Ok"/>
    <n v="65"/>
    <x v="0"/>
  </r>
  <r>
    <n v="95"/>
    <s v="2025-09-12"/>
    <s v="SKU-1022"/>
    <s v="Sports"/>
    <s v="WH-Lahore"/>
    <s v="South"/>
    <s v="Gamma Logistics"/>
    <n v="207"/>
    <n v="117.58"/>
    <n v="170.21"/>
    <n v="10"/>
    <n v="4"/>
    <n v="32"/>
    <x v="1"/>
    <s v="Reorder Now"/>
    <n v="65"/>
    <x v="0"/>
  </r>
  <r>
    <n v="96"/>
    <s v="2025-01-21"/>
    <s v="SKU-1007"/>
    <s v="Furniture"/>
    <s v="WH-Lahore"/>
    <s v="South"/>
    <s v="Gamma Logistics"/>
    <n v="133"/>
    <n v="191.66"/>
    <n v="310.17"/>
    <n v="6"/>
    <n v="321"/>
    <n v="44"/>
    <x v="0"/>
    <s v="Ok"/>
    <n v="65"/>
    <x v="0"/>
  </r>
  <r>
    <n v="97"/>
    <s v="2025-03-31"/>
    <s v="SKU-1023"/>
    <s v="Apparel"/>
    <s v="WH-Islamabad"/>
    <s v="North"/>
    <s v="Gamma Logistics"/>
    <n v="156"/>
    <n v="142.38999999999999"/>
    <n v="194.46"/>
    <n v="12"/>
    <n v="382"/>
    <n v="126"/>
    <x v="0"/>
    <s v="Ok"/>
    <n v="65"/>
    <x v="0"/>
  </r>
  <r>
    <n v="98"/>
    <s v="2025-02-28"/>
    <s v="SKU-1005"/>
    <s v="Apparel"/>
    <s v="WH-Karachi"/>
    <s v="South"/>
    <s v="Beta Supply Co"/>
    <n v="251"/>
    <n v="71.349999999999994"/>
    <n v="101.92"/>
    <n v="11"/>
    <n v="382"/>
    <n v="106"/>
    <x v="0"/>
    <s v="Ok"/>
    <n v="78"/>
    <x v="0"/>
  </r>
  <r>
    <n v="99"/>
    <s v="2025-07-22"/>
    <s v="SKU-1021"/>
    <s v="Furniture"/>
    <s v="WH-Islamabad"/>
    <s v="South"/>
    <s v="Delta Sourcing"/>
    <n v="208"/>
    <n v="173.03"/>
    <n v="287.58999999999997"/>
    <n v="19"/>
    <n v="187"/>
    <n v="43"/>
    <x v="0"/>
    <s v="Ok"/>
    <n v="88"/>
    <x v="1"/>
  </r>
  <r>
    <n v="100"/>
    <s v="2025-02-25"/>
    <s v="SKU-1011"/>
    <s v="Electronics"/>
    <s v="WH-Lahore"/>
    <s v="South"/>
    <s v="Gamma Logistics"/>
    <n v="139"/>
    <n v="170.26"/>
    <n v="278.62"/>
    <n v="20"/>
    <n v="195"/>
    <n v="115"/>
    <x v="0"/>
    <s v="Ok"/>
    <n v="65"/>
    <x v="0"/>
  </r>
  <r>
    <n v="101"/>
    <s v="2025-07-29"/>
    <s v="SKU-1019"/>
    <s v="Furniture"/>
    <s v="WH-Karachi"/>
    <s v="South"/>
    <s v="Gamma Logistics"/>
    <n v="37"/>
    <n v="166.73"/>
    <n v="235.2"/>
    <n v="16"/>
    <n v="465"/>
    <n v="97"/>
    <x v="0"/>
    <s v="Ok"/>
    <n v="65"/>
    <x v="0"/>
  </r>
  <r>
    <n v="102"/>
    <s v="2025-08-21"/>
    <s v="SKU-1015"/>
    <s v="Apparel"/>
    <s v="WH-Islamabad"/>
    <s v="Central"/>
    <s v="Delta Sourcing"/>
    <n v="125"/>
    <n v="109.56"/>
    <n v="148.79"/>
    <n v="19"/>
    <n v="69"/>
    <n v="119"/>
    <x v="0"/>
    <s v="Reorder Now"/>
    <n v="88"/>
    <x v="1"/>
  </r>
  <r>
    <n v="103"/>
    <s v="2025-09-08"/>
    <s v="SKU-1018"/>
    <s v="Electronics"/>
    <s v="WH-Lahore"/>
    <s v="South"/>
    <s v="Gamma Logistics"/>
    <n v="84"/>
    <n v="112.65"/>
    <n v="188.25"/>
    <n v="15"/>
    <n v="335"/>
    <n v="45"/>
    <x v="0"/>
    <s v="Ok"/>
    <n v="65"/>
    <x v="0"/>
  </r>
  <r>
    <n v="104"/>
    <s v="2025-07-03"/>
    <s v="SKU-1006"/>
    <s v="Electronics"/>
    <s v="WH-Lahore"/>
    <s v="South"/>
    <s v="Alpha Traders"/>
    <n v="125"/>
    <n v="35.32"/>
    <n v="53.75"/>
    <n v="13"/>
    <n v="50"/>
    <n v="114"/>
    <x v="0"/>
    <s v="Reorder Now"/>
    <n v="92"/>
    <x v="1"/>
  </r>
  <r>
    <n v="105"/>
    <s v="2025-01-26"/>
    <s v="SKU-1014"/>
    <s v="Apparel"/>
    <s v="WH-Karachi"/>
    <s v="South"/>
    <s v="Beta Supply Co"/>
    <n v="113"/>
    <n v="147.30000000000001"/>
    <n v="198.24"/>
    <n v="21"/>
    <n v="497"/>
    <n v="25"/>
    <x v="1"/>
    <s v="Ok"/>
    <n v="78"/>
    <x v="0"/>
  </r>
  <r>
    <n v="106"/>
    <s v="2025-04-30"/>
    <s v="SKU-1002"/>
    <s v="Home Goods"/>
    <s v="WH-Karachi"/>
    <s v="Central"/>
    <s v="Alpha Traders"/>
    <n v="288"/>
    <n v="6.27"/>
    <n v="10.75"/>
    <n v="8"/>
    <n v="300"/>
    <n v="75"/>
    <x v="0"/>
    <s v="Ok"/>
    <n v="92"/>
    <x v="1"/>
  </r>
  <r>
    <n v="107"/>
    <s v="2025-03-31"/>
    <s v="SKU-1008"/>
    <s v="Electronics"/>
    <s v="WH-Karachi"/>
    <s v="South"/>
    <s v="Alpha Traders"/>
    <n v="79"/>
    <n v="70.64"/>
    <n v="122.15"/>
    <n v="6"/>
    <n v="276"/>
    <n v="84"/>
    <x v="0"/>
    <s v="Ok"/>
    <n v="92"/>
    <x v="1"/>
  </r>
  <r>
    <n v="108"/>
    <s v="2025-03-31"/>
    <s v="SKU-1011"/>
    <s v="Electronics"/>
    <s v="WH-Karachi"/>
    <s v="Central"/>
    <s v="Delta Sourcing"/>
    <n v="126"/>
    <n v="170.26"/>
    <n v="288.58999999999997"/>
    <n v="20"/>
    <n v="165"/>
    <n v="24"/>
    <x v="0"/>
    <s v="Ok"/>
    <n v="88"/>
    <x v="1"/>
  </r>
  <r>
    <n v="109"/>
    <s v="2025-09-20"/>
    <s v="SKU-1016"/>
    <s v="Furniture"/>
    <s v="WH-Lahore"/>
    <s v="Central"/>
    <s v="Beta Supply Co"/>
    <n v="37"/>
    <n v="194.76"/>
    <n v="264.26"/>
    <n v="17"/>
    <n v="229"/>
    <n v="112"/>
    <x v="0"/>
    <s v="Ok"/>
    <n v="78"/>
    <x v="0"/>
  </r>
  <r>
    <n v="110"/>
    <s v="2025-02-01"/>
    <s v="SKU-1019"/>
    <s v="Furniture"/>
    <s v="WH-Lahore"/>
    <s v="North"/>
    <s v="Alpha Traders"/>
    <n v="271"/>
    <n v="166.73"/>
    <n v="220.36"/>
    <n v="11"/>
    <n v="234"/>
    <n v="27"/>
    <x v="1"/>
    <s v="Ok"/>
    <n v="92"/>
    <x v="1"/>
  </r>
  <r>
    <n v="111"/>
    <s v="2025-06-14"/>
    <s v="SKU-1015"/>
    <s v="Apparel"/>
    <s v="WH-Karachi"/>
    <s v="South"/>
    <s v="Gamma Logistics"/>
    <n v="232"/>
    <n v="109.56"/>
    <n v="181.45"/>
    <n v="4"/>
    <n v="460"/>
    <n v="40"/>
    <x v="0"/>
    <s v="Ok"/>
    <n v="65"/>
    <x v="0"/>
  </r>
  <r>
    <n v="112"/>
    <s v="2025-08-21"/>
    <s v="SKU-1019"/>
    <s v="Furniture"/>
    <s v="WH-Lahore"/>
    <s v="South"/>
    <s v="Alpha Traders"/>
    <n v="285"/>
    <n v="166.73"/>
    <n v="269.52999999999997"/>
    <n v="12"/>
    <n v="195"/>
    <n v="95"/>
    <x v="0"/>
    <s v="Ok"/>
    <n v="92"/>
    <x v="1"/>
  </r>
  <r>
    <n v="113"/>
    <s v="2025-04-27"/>
    <s v="SKU-1020"/>
    <s v="Apparel"/>
    <s v="WH-Lahore"/>
    <s v="North"/>
    <s v="Delta Sourcing"/>
    <n v="287"/>
    <n v="125.61"/>
    <n v="204.17"/>
    <n v="8"/>
    <n v="220"/>
    <n v="135"/>
    <x v="0"/>
    <s v="Ok"/>
    <n v="88"/>
    <x v="1"/>
  </r>
  <r>
    <n v="114"/>
    <s v="2025-07-11"/>
    <s v="SKU-1023"/>
    <s v="Apparel"/>
    <s v="WH-Islamabad"/>
    <s v="North"/>
    <s v="Alpha Traders"/>
    <n v="223"/>
    <n v="142.38999999999999"/>
    <n v="191.88"/>
    <n v="12"/>
    <n v="340"/>
    <n v="85"/>
    <x v="1"/>
    <s v="Ok"/>
    <n v="92"/>
    <x v="1"/>
  </r>
  <r>
    <n v="115"/>
    <s v="2025-03-08"/>
    <s v="SKU-1002"/>
    <s v="Home Goods"/>
    <s v="WH-Islamabad"/>
    <s v="Central"/>
    <s v="Gamma Logistics"/>
    <n v="52"/>
    <n v="6.27"/>
    <n v="10.76"/>
    <n v="15"/>
    <n v="49"/>
    <n v="115"/>
    <x v="0"/>
    <s v="Reorder Now"/>
    <n v="65"/>
    <x v="0"/>
  </r>
  <r>
    <n v="116"/>
    <s v="2025-05-28"/>
    <s v="SKU-1021"/>
    <s v="Furniture"/>
    <s v="WH-Lahore"/>
    <s v="South"/>
    <s v="Beta Supply Co"/>
    <n v="186"/>
    <n v="173.03"/>
    <n v="235.51"/>
    <n v="15"/>
    <n v="444"/>
    <n v="33"/>
    <x v="0"/>
    <s v="Ok"/>
    <n v="78"/>
    <x v="0"/>
  </r>
  <r>
    <n v="117"/>
    <s v="2025-02-28"/>
    <s v="SKU-1004"/>
    <s v="Apparel"/>
    <s v="WH-Islamabad"/>
    <s v="South"/>
    <s v="Delta Sourcing"/>
    <n v="119"/>
    <n v="141.13999999999999"/>
    <n v="229.83"/>
    <n v="5"/>
    <n v="179"/>
    <n v="114"/>
    <x v="0"/>
    <s v="Ok"/>
    <n v="88"/>
    <x v="1"/>
  </r>
  <r>
    <n v="118"/>
    <s v="2025-01-15"/>
    <s v="SKU-1017"/>
    <s v="Furniture"/>
    <s v="WH-Islamabad"/>
    <s v="North"/>
    <s v="Gamma Logistics"/>
    <n v="290"/>
    <n v="78.81"/>
    <n v="140.86000000000001"/>
    <n v="2"/>
    <n v="311"/>
    <n v="88"/>
    <x v="0"/>
    <s v="Ok"/>
    <n v="65"/>
    <x v="0"/>
  </r>
  <r>
    <n v="119"/>
    <s v="2025-02-05"/>
    <s v="SKU-1011"/>
    <s v="Electronics"/>
    <s v="WH-Islamabad"/>
    <s v="South"/>
    <s v="Alpha Traders"/>
    <n v="78"/>
    <n v="170.26"/>
    <n v="221.86"/>
    <n v="20"/>
    <n v="336"/>
    <n v="122"/>
    <x v="0"/>
    <s v="Ok"/>
    <n v="92"/>
    <x v="1"/>
  </r>
  <r>
    <n v="120"/>
    <s v="2025-03-22"/>
    <s v="SKU-1023"/>
    <s v="Apparel"/>
    <s v="WH-Islamabad"/>
    <s v="North"/>
    <s v="Alpha Traders"/>
    <n v="197"/>
    <n v="142.38999999999999"/>
    <n v="222.87"/>
    <n v="15"/>
    <n v="232"/>
    <n v="107"/>
    <x v="0"/>
    <s v="Ok"/>
    <n v="92"/>
    <x v="1"/>
  </r>
  <r>
    <n v="121"/>
    <s v="2025-08-06"/>
    <s v="SKU-1001"/>
    <s v="Electronics"/>
    <s v="WH-Lahore"/>
    <s v="North"/>
    <s v="Gamma Logistics"/>
    <n v="30"/>
    <n v="162.84"/>
    <n v="224.36"/>
    <n v="4"/>
    <n v="139"/>
    <n v="133"/>
    <x v="0"/>
    <s v="Ok"/>
    <n v="65"/>
    <x v="0"/>
  </r>
  <r>
    <n v="122"/>
    <s v="2025-05-26"/>
    <s v="SKU-1006"/>
    <s v="Electronics"/>
    <s v="WH-Islamabad"/>
    <s v="North"/>
    <s v="Gamma Logistics"/>
    <n v="63"/>
    <n v="35.32"/>
    <n v="59.25"/>
    <n v="13"/>
    <n v="220"/>
    <n v="48"/>
    <x v="0"/>
    <s v="Ok"/>
    <n v="65"/>
    <x v="0"/>
  </r>
  <r>
    <n v="123"/>
    <s v="2025-04-19"/>
    <s v="SKU-1001"/>
    <s v="Electronics"/>
    <s v="WH-Lahore"/>
    <s v="North"/>
    <s v="Gamma Logistics"/>
    <n v="33"/>
    <n v="162.84"/>
    <n v="229.65"/>
    <n v="2"/>
    <n v="104"/>
    <n v="97"/>
    <x v="0"/>
    <s v="Ok"/>
    <n v="65"/>
    <x v="0"/>
  </r>
  <r>
    <n v="124"/>
    <s v="2025-04-28"/>
    <s v="SKU-1003"/>
    <s v="Apparel"/>
    <s v="WH-Islamabad"/>
    <s v="North"/>
    <s v="Alpha Traders"/>
    <n v="225"/>
    <n v="162.13"/>
    <n v="211.4"/>
    <n v="7"/>
    <n v="66"/>
    <n v="117"/>
    <x v="0"/>
    <s v="Reorder Now"/>
    <n v="92"/>
    <x v="1"/>
  </r>
  <r>
    <n v="125"/>
    <s v="2025-02-09"/>
    <s v="SKU-1012"/>
    <s v="Electronics"/>
    <s v="WH-Islamabad"/>
    <s v="North"/>
    <s v="Delta Sourcing"/>
    <n v="26"/>
    <n v="122.73"/>
    <n v="212.43"/>
    <n v="15"/>
    <n v="9"/>
    <n v="137"/>
    <x v="1"/>
    <s v="Reorder Now"/>
    <n v="88"/>
    <x v="1"/>
  </r>
  <r>
    <n v="126"/>
    <s v="2025-06-16"/>
    <s v="SKU-1022"/>
    <s v="Sports"/>
    <s v="WH-Islamabad"/>
    <s v="North"/>
    <s v="Gamma Logistics"/>
    <n v="153"/>
    <n v="117.58"/>
    <n v="190.49"/>
    <n v="5"/>
    <n v="207"/>
    <n v="25"/>
    <x v="0"/>
    <s v="Ok"/>
    <n v="65"/>
    <x v="0"/>
  </r>
  <r>
    <n v="127"/>
    <s v="2025-09-26"/>
    <s v="SKU-1002"/>
    <s v="Home Goods"/>
    <s v="WH-Lahore"/>
    <s v="Central"/>
    <s v="Gamma Logistics"/>
    <n v="59"/>
    <n v="6.27"/>
    <n v="9.52"/>
    <n v="9"/>
    <n v="223"/>
    <n v="122"/>
    <x v="0"/>
    <s v="Ok"/>
    <n v="65"/>
    <x v="0"/>
  </r>
  <r>
    <n v="128"/>
    <s v="2025-09-19"/>
    <s v="SKU-1007"/>
    <s v="Furniture"/>
    <s v="WH-Lahore"/>
    <s v="North"/>
    <s v="Beta Supply Co"/>
    <n v="91"/>
    <n v="191.66"/>
    <n v="281.08"/>
    <n v="4"/>
    <n v="261"/>
    <n v="49"/>
    <x v="0"/>
    <s v="Ok"/>
    <n v="78"/>
    <x v="0"/>
  </r>
  <r>
    <n v="129"/>
    <s v="2025-02-08"/>
    <s v="SKU-1007"/>
    <s v="Furniture"/>
    <s v="WH-Islamabad"/>
    <s v="North"/>
    <s v="Delta Sourcing"/>
    <n v="136"/>
    <n v="191.66"/>
    <n v="259.01"/>
    <n v="8"/>
    <n v="88"/>
    <n v="59"/>
    <x v="0"/>
    <s v="Ok"/>
    <n v="88"/>
    <x v="1"/>
  </r>
  <r>
    <n v="130"/>
    <s v="2025-06-11"/>
    <s v="SKU-1024"/>
    <s v="Sports"/>
    <s v="WH-Karachi"/>
    <s v="North"/>
    <s v="Delta Sourcing"/>
    <n v="234"/>
    <n v="13.94"/>
    <n v="22.05"/>
    <n v="20"/>
    <n v="329"/>
    <n v="102"/>
    <x v="0"/>
    <s v="Ok"/>
    <n v="88"/>
    <x v="1"/>
  </r>
  <r>
    <n v="131"/>
    <s v="2025-09-17"/>
    <s v="SKU-1020"/>
    <s v="Apparel"/>
    <s v="WH-Lahore"/>
    <s v="North"/>
    <s v="Alpha Traders"/>
    <n v="145"/>
    <n v="125.61"/>
    <n v="182.31"/>
    <n v="20"/>
    <n v="28"/>
    <n v="110"/>
    <x v="0"/>
    <s v="Reorder Now"/>
    <n v="92"/>
    <x v="1"/>
  </r>
  <r>
    <n v="132"/>
    <s v="2025-09-17"/>
    <s v="SKU-1001"/>
    <s v="Electronics"/>
    <s v="WH-Islamabad"/>
    <s v="Central"/>
    <s v="Alpha Traders"/>
    <n v="151"/>
    <n v="162.84"/>
    <n v="241.71"/>
    <n v="4"/>
    <n v="330"/>
    <n v="43"/>
    <x v="0"/>
    <s v="Ok"/>
    <n v="92"/>
    <x v="1"/>
  </r>
  <r>
    <n v="133"/>
    <s v="2025-09-14"/>
    <s v="SKU-1014"/>
    <s v="Apparel"/>
    <s v="WH-Karachi"/>
    <s v="North"/>
    <s v="Alpha Traders"/>
    <n v="297"/>
    <n v="147.30000000000001"/>
    <n v="258.44"/>
    <n v="8"/>
    <n v="164"/>
    <n v="141"/>
    <x v="0"/>
    <s v="Ok"/>
    <n v="92"/>
    <x v="1"/>
  </r>
  <r>
    <n v="134"/>
    <s v="2025-01-21"/>
    <s v="SKU-1010"/>
    <s v="Sports"/>
    <s v="WH-Lahore"/>
    <s v="North"/>
    <s v="Beta Supply Co"/>
    <n v="48"/>
    <n v="23.86"/>
    <n v="42.74"/>
    <n v="18"/>
    <n v="330"/>
    <n v="64"/>
    <x v="0"/>
    <s v="Ok"/>
    <n v="78"/>
    <x v="0"/>
  </r>
  <r>
    <n v="135"/>
    <s v="2025-01-27"/>
    <s v="SKU-1011"/>
    <s v="Electronics"/>
    <s v="WH-Islamabad"/>
    <s v="North"/>
    <s v="Alpha Traders"/>
    <n v="149"/>
    <n v="170.26"/>
    <n v="253.08"/>
    <n v="14"/>
    <n v="209"/>
    <n v="106"/>
    <x v="1"/>
    <s v="Ok"/>
    <n v="92"/>
    <x v="1"/>
  </r>
  <r>
    <n v="136"/>
    <s v="2025-06-20"/>
    <s v="SKU-1010"/>
    <s v="Sports"/>
    <s v="WH-Islamabad"/>
    <s v="South"/>
    <s v="Gamma Logistics"/>
    <n v="202"/>
    <n v="23.86"/>
    <n v="32.15"/>
    <n v="11"/>
    <n v="129"/>
    <n v="58"/>
    <x v="0"/>
    <s v="Ok"/>
    <n v="65"/>
    <x v="0"/>
  </r>
  <r>
    <n v="137"/>
    <s v="2025-06-08"/>
    <s v="SKU-1009"/>
    <s v="Furniture"/>
    <s v="WH-Islamabad"/>
    <s v="North"/>
    <s v="Beta Supply Co"/>
    <n v="205"/>
    <n v="23.09"/>
    <n v="41.19"/>
    <n v="6"/>
    <n v="304"/>
    <n v="41"/>
    <x v="0"/>
    <s v="Ok"/>
    <n v="78"/>
    <x v="0"/>
  </r>
  <r>
    <n v="138"/>
    <s v="2025-09-18"/>
    <s v="SKU-1021"/>
    <s v="Furniture"/>
    <s v="WH-Lahore"/>
    <s v="North"/>
    <s v="Beta Supply Co"/>
    <n v="274"/>
    <n v="173.03"/>
    <n v="285.74"/>
    <n v="4"/>
    <n v="330"/>
    <n v="128"/>
    <x v="0"/>
    <s v="Ok"/>
    <n v="78"/>
    <x v="0"/>
  </r>
  <r>
    <n v="139"/>
    <s v="2025-03-21"/>
    <s v="SKU-1006"/>
    <s v="Electronics"/>
    <s v="WH-Karachi"/>
    <s v="Central"/>
    <s v="Alpha Traders"/>
    <n v="253"/>
    <n v="35.32"/>
    <n v="51.95"/>
    <n v="8"/>
    <n v="115"/>
    <n v="55"/>
    <x v="0"/>
    <s v="Ok"/>
    <n v="92"/>
    <x v="1"/>
  </r>
  <r>
    <n v="140"/>
    <s v="2025-03-25"/>
    <s v="SKU-1021"/>
    <s v="Furniture"/>
    <s v="WH-Islamabad"/>
    <s v="Central"/>
    <s v="Beta Supply Co"/>
    <n v="72"/>
    <n v="173.03"/>
    <n v="254.07"/>
    <n v="21"/>
    <n v="192"/>
    <n v="59"/>
    <x v="0"/>
    <s v="Ok"/>
    <n v="78"/>
    <x v="0"/>
  </r>
  <r>
    <n v="141"/>
    <s v="2025-08-16"/>
    <s v="SKU-1023"/>
    <s v="Apparel"/>
    <s v="WH-Islamabad"/>
    <s v="North"/>
    <s v="Beta Supply Co"/>
    <n v="215"/>
    <n v="142.38999999999999"/>
    <n v="216.27"/>
    <n v="13"/>
    <n v="346"/>
    <n v="80"/>
    <x v="0"/>
    <s v="Ok"/>
    <n v="78"/>
    <x v="0"/>
  </r>
  <r>
    <n v="142"/>
    <s v="2025-08-25"/>
    <s v="SKU-1017"/>
    <s v="Furniture"/>
    <s v="WH-Lahore"/>
    <s v="Central"/>
    <s v="Delta Sourcing"/>
    <n v="245"/>
    <n v="78.81"/>
    <n v="111.88"/>
    <n v="8"/>
    <n v="188"/>
    <n v="132"/>
    <x v="0"/>
    <s v="Ok"/>
    <n v="88"/>
    <x v="1"/>
  </r>
  <r>
    <n v="143"/>
    <s v="2025-07-10"/>
    <s v="SKU-1005"/>
    <s v="Apparel"/>
    <s v="WH-Karachi"/>
    <s v="Central"/>
    <s v="Alpha Traders"/>
    <n v="75"/>
    <n v="71.349999999999994"/>
    <n v="121.9"/>
    <n v="10"/>
    <n v="26"/>
    <n v="143"/>
    <x v="0"/>
    <s v="Reorder Now"/>
    <n v="92"/>
    <x v="1"/>
  </r>
  <r>
    <n v="144"/>
    <s v="2025-08-12"/>
    <s v="SKU-1009"/>
    <s v="Furniture"/>
    <s v="WH-Karachi"/>
    <s v="North"/>
    <s v="Gamma Logistics"/>
    <n v="87"/>
    <n v="23.09"/>
    <n v="30.99"/>
    <n v="10"/>
    <n v="230"/>
    <n v="57"/>
    <x v="0"/>
    <s v="Ok"/>
    <n v="65"/>
    <x v="0"/>
  </r>
  <r>
    <n v="145"/>
    <s v="2025-07-17"/>
    <s v="SKU-1000"/>
    <s v="Electronics"/>
    <s v="WH-Lahore"/>
    <s v="South"/>
    <s v="Alpha Traders"/>
    <n v="207"/>
    <n v="119.91"/>
    <n v="180.76"/>
    <n v="18"/>
    <n v="191"/>
    <n v="80"/>
    <x v="1"/>
    <s v="Ok"/>
    <n v="92"/>
    <x v="1"/>
  </r>
  <r>
    <n v="146"/>
    <s v="2025-05-27"/>
    <s v="SKU-1010"/>
    <s v="Sports"/>
    <s v="WH-Lahore"/>
    <s v="Central"/>
    <s v="Beta Supply Co"/>
    <n v="176"/>
    <n v="23.86"/>
    <n v="42.12"/>
    <n v="6"/>
    <n v="70"/>
    <n v="29"/>
    <x v="1"/>
    <s v="Ok"/>
    <n v="78"/>
    <x v="0"/>
  </r>
  <r>
    <n v="147"/>
    <s v="2025-01-10"/>
    <s v="SKU-1024"/>
    <s v="Sports"/>
    <s v="WH-Karachi"/>
    <s v="Central"/>
    <s v="Delta Sourcing"/>
    <n v="234"/>
    <n v="13.94"/>
    <n v="23.04"/>
    <n v="21"/>
    <n v="2"/>
    <n v="40"/>
    <x v="0"/>
    <s v="Reorder Now"/>
    <n v="88"/>
    <x v="1"/>
  </r>
  <r>
    <n v="148"/>
    <s v="2025-05-03"/>
    <s v="SKU-1003"/>
    <s v="Apparel"/>
    <s v="WH-Islamabad"/>
    <s v="North"/>
    <s v="Alpha Traders"/>
    <n v="126"/>
    <n v="162.13"/>
    <n v="273.69"/>
    <n v="11"/>
    <n v="62"/>
    <n v="32"/>
    <x v="0"/>
    <s v="Ok"/>
    <n v="92"/>
    <x v="1"/>
  </r>
  <r>
    <n v="149"/>
    <s v="2025-09-21"/>
    <s v="SKU-1003"/>
    <s v="Apparel"/>
    <s v="WH-Islamabad"/>
    <s v="South"/>
    <s v="Gamma Logistics"/>
    <n v="260"/>
    <n v="162.13"/>
    <n v="278.60000000000002"/>
    <n v="21"/>
    <n v="274"/>
    <n v="24"/>
    <x v="0"/>
    <s v="Ok"/>
    <n v="65"/>
    <x v="0"/>
  </r>
  <r>
    <n v="150"/>
    <s v="2025-04-06"/>
    <s v="SKU-1013"/>
    <s v="Electronics"/>
    <s v="WH-Karachi"/>
    <s v="Central"/>
    <s v="Gamma Logistics"/>
    <n v="185"/>
    <n v="162.38999999999999"/>
    <n v="211.23"/>
    <n v="9"/>
    <n v="292"/>
    <n v="126"/>
    <x v="0"/>
    <s v="Ok"/>
    <n v="65"/>
    <x v="0"/>
  </r>
  <r>
    <n v="151"/>
    <s v="2025-01-11"/>
    <s v="SKU-1002"/>
    <s v="Home Goods"/>
    <s v="WH-Lahore"/>
    <s v="South"/>
    <s v="Delta Sourcing"/>
    <n v="283"/>
    <n v="6.27"/>
    <n v="11.14"/>
    <n v="18"/>
    <n v="402"/>
    <n v="149"/>
    <x v="0"/>
    <s v="Ok"/>
    <n v="88"/>
    <x v="1"/>
  </r>
  <r>
    <n v="152"/>
    <s v="2025-06-26"/>
    <s v="SKU-1011"/>
    <s v="Electronics"/>
    <s v="WH-Islamabad"/>
    <s v="Central"/>
    <s v="Alpha Traders"/>
    <n v="13"/>
    <n v="170.26"/>
    <n v="242.93"/>
    <n v="13"/>
    <n v="403"/>
    <n v="37"/>
    <x v="0"/>
    <s v="Ok"/>
    <n v="92"/>
    <x v="1"/>
  </r>
  <r>
    <n v="153"/>
    <s v="2025-06-23"/>
    <s v="SKU-1024"/>
    <s v="Sports"/>
    <s v="WH-Karachi"/>
    <s v="Central"/>
    <s v="Delta Sourcing"/>
    <n v="175"/>
    <n v="13.94"/>
    <n v="22.18"/>
    <n v="6"/>
    <n v="22"/>
    <n v="110"/>
    <x v="1"/>
    <s v="Reorder Now"/>
    <n v="88"/>
    <x v="1"/>
  </r>
  <r>
    <n v="154"/>
    <s v="2025-01-19"/>
    <s v="SKU-1022"/>
    <s v="Sports"/>
    <s v="WH-Karachi"/>
    <s v="South"/>
    <s v="Alpha Traders"/>
    <n v="98"/>
    <n v="117.58"/>
    <n v="180.99"/>
    <n v="6"/>
    <n v="32"/>
    <n v="137"/>
    <x v="0"/>
    <s v="Reorder Now"/>
    <n v="92"/>
    <x v="1"/>
  </r>
  <r>
    <n v="155"/>
    <s v="2025-05-10"/>
    <s v="SKU-1010"/>
    <s v="Sports"/>
    <s v="WH-Islamabad"/>
    <s v="South"/>
    <s v="Gamma Logistics"/>
    <n v="268"/>
    <n v="23.86"/>
    <n v="42.15"/>
    <n v="14"/>
    <n v="417"/>
    <n v="141"/>
    <x v="0"/>
    <s v="Ok"/>
    <n v="65"/>
    <x v="0"/>
  </r>
  <r>
    <n v="156"/>
    <s v="2025-07-08"/>
    <s v="SKU-1011"/>
    <s v="Electronics"/>
    <s v="WH-Lahore"/>
    <s v="Central"/>
    <s v="Delta Sourcing"/>
    <n v="29"/>
    <n v="170.26"/>
    <n v="294.73"/>
    <n v="12"/>
    <n v="139"/>
    <n v="51"/>
    <x v="0"/>
    <s v="Ok"/>
    <n v="88"/>
    <x v="1"/>
  </r>
  <r>
    <n v="157"/>
    <s v="2025-07-08"/>
    <s v="SKU-1012"/>
    <s v="Electronics"/>
    <s v="WH-Islamabad"/>
    <s v="North"/>
    <s v="Alpha Traders"/>
    <n v="100"/>
    <n v="122.73"/>
    <n v="180.35"/>
    <n v="17"/>
    <n v="354"/>
    <n v="147"/>
    <x v="1"/>
    <s v="Ok"/>
    <n v="92"/>
    <x v="1"/>
  </r>
  <r>
    <n v="158"/>
    <s v="2025-05-31"/>
    <s v="SKU-1023"/>
    <s v="Apparel"/>
    <s v="WH-Karachi"/>
    <s v="North"/>
    <s v="Gamma Logistics"/>
    <n v="225"/>
    <n v="142.38999999999999"/>
    <n v="215.33"/>
    <n v="21"/>
    <n v="421"/>
    <n v="66"/>
    <x v="0"/>
    <s v="Ok"/>
    <n v="65"/>
    <x v="0"/>
  </r>
  <r>
    <n v="159"/>
    <s v="2025-06-29"/>
    <s v="SKU-1009"/>
    <s v="Furniture"/>
    <s v="WH-Islamabad"/>
    <s v="North"/>
    <s v="Delta Sourcing"/>
    <n v="223"/>
    <n v="23.09"/>
    <n v="35.17"/>
    <n v="7"/>
    <n v="353"/>
    <n v="133"/>
    <x v="0"/>
    <s v="Ok"/>
    <n v="88"/>
    <x v="1"/>
  </r>
  <r>
    <n v="160"/>
    <s v="2025-07-06"/>
    <s v="SKU-1008"/>
    <s v="Electronics"/>
    <s v="WH-Islamabad"/>
    <s v="Central"/>
    <s v="Beta Supply Co"/>
    <n v="34"/>
    <n v="70.64"/>
    <n v="114.42"/>
    <n v="4"/>
    <n v="343"/>
    <n v="123"/>
    <x v="0"/>
    <s v="Ok"/>
    <n v="78"/>
    <x v="0"/>
  </r>
  <r>
    <n v="161"/>
    <s v="2025-05-01"/>
    <s v="SKU-1000"/>
    <s v="Electronics"/>
    <s v="WH-Lahore"/>
    <s v="North"/>
    <s v="Delta Sourcing"/>
    <n v="229"/>
    <n v="119.91"/>
    <n v="164.44"/>
    <n v="3"/>
    <n v="64"/>
    <n v="37"/>
    <x v="0"/>
    <s v="Ok"/>
    <n v="88"/>
    <x v="1"/>
  </r>
  <r>
    <n v="162"/>
    <s v="2025-07-10"/>
    <s v="SKU-1018"/>
    <s v="Electronics"/>
    <s v="WH-Karachi"/>
    <s v="Central"/>
    <s v="Beta Supply Co"/>
    <n v="83"/>
    <n v="112.65"/>
    <n v="148.27000000000001"/>
    <n v="16"/>
    <n v="485"/>
    <n v="114"/>
    <x v="0"/>
    <s v="Ok"/>
    <n v="78"/>
    <x v="0"/>
  </r>
  <r>
    <n v="163"/>
    <s v="2025-01-14"/>
    <s v="SKU-1016"/>
    <s v="Furniture"/>
    <s v="WH-Lahore"/>
    <s v="Central"/>
    <s v="Delta Sourcing"/>
    <n v="165"/>
    <n v="194.76"/>
    <n v="288.92"/>
    <n v="10"/>
    <n v="127"/>
    <n v="49"/>
    <x v="0"/>
    <s v="Ok"/>
    <n v="88"/>
    <x v="1"/>
  </r>
  <r>
    <n v="164"/>
    <s v="2025-09-09"/>
    <s v="SKU-1017"/>
    <s v="Furniture"/>
    <s v="WH-Karachi"/>
    <s v="South"/>
    <s v="Delta Sourcing"/>
    <n v="138"/>
    <n v="78.81"/>
    <n v="107.09"/>
    <n v="16"/>
    <n v="109"/>
    <n v="93"/>
    <x v="0"/>
    <s v="Ok"/>
    <n v="88"/>
    <x v="1"/>
  </r>
  <r>
    <n v="165"/>
    <s v="2025-06-27"/>
    <s v="SKU-1005"/>
    <s v="Apparel"/>
    <s v="WH-Islamabad"/>
    <s v="Central"/>
    <s v="Gamma Logistics"/>
    <n v="232"/>
    <n v="71.349999999999994"/>
    <n v="124.82"/>
    <n v="4"/>
    <n v="414"/>
    <n v="101"/>
    <x v="0"/>
    <s v="Ok"/>
    <n v="65"/>
    <x v="0"/>
  </r>
  <r>
    <n v="166"/>
    <s v="2025-03-04"/>
    <s v="SKU-1009"/>
    <s v="Furniture"/>
    <s v="WH-Karachi"/>
    <s v="South"/>
    <s v="Delta Sourcing"/>
    <n v="94"/>
    <n v="23.09"/>
    <n v="39.85"/>
    <n v="13"/>
    <n v="260"/>
    <n v="77"/>
    <x v="1"/>
    <s v="Ok"/>
    <n v="88"/>
    <x v="1"/>
  </r>
  <r>
    <n v="167"/>
    <s v="2025-02-14"/>
    <s v="SKU-1000"/>
    <s v="Electronics"/>
    <s v="WH-Lahore"/>
    <s v="Central"/>
    <s v="Delta Sourcing"/>
    <n v="298"/>
    <n v="119.91"/>
    <n v="177.52"/>
    <n v="13"/>
    <n v="239"/>
    <n v="53"/>
    <x v="0"/>
    <s v="Ok"/>
    <n v="88"/>
    <x v="1"/>
  </r>
  <r>
    <n v="168"/>
    <s v="2025-06-12"/>
    <s v="SKU-1016"/>
    <s v="Furniture"/>
    <s v="WH-Lahore"/>
    <s v="North"/>
    <s v="Gamma Logistics"/>
    <n v="214"/>
    <n v="194.76"/>
    <n v="293.19"/>
    <n v="20"/>
    <n v="37"/>
    <n v="52"/>
    <x v="0"/>
    <s v="Reorder Now"/>
    <n v="65"/>
    <x v="0"/>
  </r>
  <r>
    <n v="169"/>
    <s v="2025-08-10"/>
    <s v="SKU-1004"/>
    <s v="Apparel"/>
    <s v="WH-Karachi"/>
    <s v="South"/>
    <s v="Beta Supply Co"/>
    <n v="287"/>
    <n v="141.13999999999999"/>
    <n v="245.44"/>
    <n v="20"/>
    <n v="93"/>
    <n v="53"/>
    <x v="0"/>
    <s v="Ok"/>
    <n v="78"/>
    <x v="0"/>
  </r>
  <r>
    <n v="170"/>
    <s v="2025-02-10"/>
    <s v="SKU-1009"/>
    <s v="Furniture"/>
    <s v="WH-Islamabad"/>
    <s v="Central"/>
    <s v="Gamma Logistics"/>
    <n v="170"/>
    <n v="23.09"/>
    <n v="31.92"/>
    <n v="9"/>
    <n v="177"/>
    <n v="92"/>
    <x v="0"/>
    <s v="Ok"/>
    <n v="65"/>
    <x v="0"/>
  </r>
  <r>
    <n v="171"/>
    <s v="2025-03-20"/>
    <s v="SKU-1004"/>
    <s v="Apparel"/>
    <s v="WH-Islamabad"/>
    <s v="Central"/>
    <s v="Gamma Logistics"/>
    <n v="278"/>
    <n v="141.13999999999999"/>
    <n v="227.59"/>
    <n v="4"/>
    <n v="257"/>
    <n v="63"/>
    <x v="0"/>
    <s v="Ok"/>
    <n v="65"/>
    <x v="0"/>
  </r>
  <r>
    <n v="172"/>
    <s v="2025-04-18"/>
    <s v="SKU-1018"/>
    <s v="Electronics"/>
    <s v="WH-Lahore"/>
    <s v="Central"/>
    <s v="Alpha Traders"/>
    <n v="19"/>
    <n v="112.65"/>
    <n v="148.77000000000001"/>
    <n v="4"/>
    <n v="23"/>
    <n v="87"/>
    <x v="0"/>
    <s v="Reorder Now"/>
    <n v="92"/>
    <x v="1"/>
  </r>
  <r>
    <n v="173"/>
    <s v="2025-09-05"/>
    <s v="SKU-1015"/>
    <s v="Apparel"/>
    <s v="WH-Islamabad"/>
    <s v="North"/>
    <s v="Gamma Logistics"/>
    <n v="284"/>
    <n v="109.56"/>
    <n v="191.13"/>
    <n v="11"/>
    <n v="328"/>
    <n v="97"/>
    <x v="0"/>
    <s v="Ok"/>
    <n v="65"/>
    <x v="0"/>
  </r>
  <r>
    <n v="174"/>
    <s v="2025-09-05"/>
    <s v="SKU-1014"/>
    <s v="Apparel"/>
    <s v="WH-Lahore"/>
    <s v="Central"/>
    <s v="Beta Supply Co"/>
    <n v="35"/>
    <n v="147.30000000000001"/>
    <n v="196.86"/>
    <n v="7"/>
    <n v="225"/>
    <n v="126"/>
    <x v="0"/>
    <s v="Ok"/>
    <n v="78"/>
    <x v="0"/>
  </r>
  <r>
    <n v="175"/>
    <s v="2025-03-08"/>
    <s v="SKU-1010"/>
    <s v="Sports"/>
    <s v="WH-Islamabad"/>
    <s v="Central"/>
    <s v="Alpha Traders"/>
    <n v="168"/>
    <n v="23.86"/>
    <n v="41.3"/>
    <n v="13"/>
    <n v="499"/>
    <n v="122"/>
    <x v="0"/>
    <s v="Ok"/>
    <n v="92"/>
    <x v="1"/>
  </r>
  <r>
    <n v="176"/>
    <s v="2025-03-14"/>
    <s v="SKU-1010"/>
    <s v="Sports"/>
    <s v="WH-Lahore"/>
    <s v="North"/>
    <s v="Delta Sourcing"/>
    <n v="67"/>
    <n v="23.86"/>
    <n v="33.9"/>
    <n v="10"/>
    <n v="230"/>
    <n v="83"/>
    <x v="0"/>
    <s v="Ok"/>
    <n v="88"/>
    <x v="1"/>
  </r>
  <r>
    <n v="177"/>
    <s v="2025-04-08"/>
    <s v="SKU-1007"/>
    <s v="Furniture"/>
    <s v="WH-Lahore"/>
    <s v="Central"/>
    <s v="Delta Sourcing"/>
    <n v="86"/>
    <n v="191.66"/>
    <n v="341.41"/>
    <n v="12"/>
    <n v="478"/>
    <n v="100"/>
    <x v="0"/>
    <s v="Ok"/>
    <n v="88"/>
    <x v="1"/>
  </r>
  <r>
    <n v="178"/>
    <s v="2025-09-16"/>
    <s v="SKU-1015"/>
    <s v="Apparel"/>
    <s v="WH-Karachi"/>
    <s v="South"/>
    <s v="Gamma Logistics"/>
    <n v="259"/>
    <n v="109.56"/>
    <n v="190.58"/>
    <n v="2"/>
    <n v="46"/>
    <n v="120"/>
    <x v="0"/>
    <s v="Reorder Now"/>
    <n v="65"/>
    <x v="0"/>
  </r>
  <r>
    <n v="179"/>
    <s v="2025-05-27"/>
    <s v="SKU-1001"/>
    <s v="Electronics"/>
    <s v="WH-Karachi"/>
    <s v="North"/>
    <s v="Beta Supply Co"/>
    <n v="258"/>
    <n v="162.84"/>
    <n v="215.81"/>
    <n v="21"/>
    <n v="451"/>
    <n v="140"/>
    <x v="0"/>
    <s v="Ok"/>
    <n v="78"/>
    <x v="0"/>
  </r>
  <r>
    <n v="180"/>
    <s v="2025-01-27"/>
    <s v="SKU-1008"/>
    <s v="Electronics"/>
    <s v="WH-Karachi"/>
    <s v="North"/>
    <s v="Gamma Logistics"/>
    <n v="211"/>
    <n v="70.64"/>
    <n v="117.53"/>
    <n v="13"/>
    <n v="23"/>
    <n v="122"/>
    <x v="0"/>
    <s v="Reorder Now"/>
    <n v="65"/>
    <x v="0"/>
  </r>
  <r>
    <n v="181"/>
    <s v="2025-03-07"/>
    <s v="SKU-1002"/>
    <s v="Home Goods"/>
    <s v="WH-Lahore"/>
    <s v="North"/>
    <s v="Gamma Logistics"/>
    <n v="235"/>
    <n v="6.27"/>
    <n v="9.36"/>
    <n v="19"/>
    <n v="143"/>
    <n v="50"/>
    <x v="1"/>
    <s v="Ok"/>
    <n v="65"/>
    <x v="0"/>
  </r>
  <r>
    <n v="182"/>
    <s v="2025-07-25"/>
    <s v="SKU-1017"/>
    <s v="Furniture"/>
    <s v="WH-Karachi"/>
    <s v="South"/>
    <s v="Beta Supply Co"/>
    <n v="78"/>
    <n v="78.81"/>
    <n v="139.44999999999999"/>
    <n v="8"/>
    <n v="308"/>
    <n v="150"/>
    <x v="0"/>
    <s v="Ok"/>
    <n v="78"/>
    <x v="0"/>
  </r>
  <r>
    <n v="183"/>
    <s v="2025-09-21"/>
    <s v="SKU-1022"/>
    <s v="Sports"/>
    <s v="WH-Islamabad"/>
    <s v="North"/>
    <s v="Beta Supply Co"/>
    <n v="247"/>
    <n v="117.58"/>
    <n v="172.43"/>
    <n v="18"/>
    <n v="233"/>
    <n v="58"/>
    <x v="0"/>
    <s v="Ok"/>
    <n v="78"/>
    <x v="0"/>
  </r>
  <r>
    <n v="184"/>
    <s v="2025-09-18"/>
    <s v="SKU-1012"/>
    <s v="Electronics"/>
    <s v="WH-Islamabad"/>
    <s v="Central"/>
    <s v="Gamma Logistics"/>
    <n v="158"/>
    <n v="122.73"/>
    <n v="220.34"/>
    <n v="20"/>
    <n v="172"/>
    <n v="149"/>
    <x v="0"/>
    <s v="Ok"/>
    <n v="65"/>
    <x v="0"/>
  </r>
  <r>
    <n v="185"/>
    <s v="2025-08-02"/>
    <s v="SKU-1015"/>
    <s v="Apparel"/>
    <s v="WH-Islamabad"/>
    <s v="Central"/>
    <s v="Alpha Traders"/>
    <n v="193"/>
    <n v="109.56"/>
    <n v="187.11"/>
    <n v="12"/>
    <n v="344"/>
    <n v="48"/>
    <x v="0"/>
    <s v="Ok"/>
    <n v="92"/>
    <x v="1"/>
  </r>
  <r>
    <n v="186"/>
    <s v="2025-09-03"/>
    <s v="SKU-1019"/>
    <s v="Furniture"/>
    <s v="WH-Islamabad"/>
    <s v="Central"/>
    <s v="Delta Sourcing"/>
    <n v="300"/>
    <n v="166.73"/>
    <n v="256.31"/>
    <n v="9"/>
    <n v="369"/>
    <n v="33"/>
    <x v="0"/>
    <s v="Ok"/>
    <n v="88"/>
    <x v="1"/>
  </r>
  <r>
    <n v="187"/>
    <s v="2025-04-08"/>
    <s v="SKU-1004"/>
    <s v="Apparel"/>
    <s v="WH-Lahore"/>
    <s v="North"/>
    <s v="Beta Supply Co"/>
    <n v="129"/>
    <n v="141.13999999999999"/>
    <n v="241.47"/>
    <n v="3"/>
    <n v="293"/>
    <n v="48"/>
    <x v="0"/>
    <s v="Ok"/>
    <n v="78"/>
    <x v="0"/>
  </r>
  <r>
    <n v="188"/>
    <s v="2025-02-01"/>
    <s v="SKU-1013"/>
    <s v="Electronics"/>
    <s v="WH-Islamabad"/>
    <s v="South"/>
    <s v="Gamma Logistics"/>
    <n v="215"/>
    <n v="162.38999999999999"/>
    <n v="267.17"/>
    <n v="18"/>
    <n v="396"/>
    <n v="140"/>
    <x v="0"/>
    <s v="Ok"/>
    <n v="65"/>
    <x v="0"/>
  </r>
  <r>
    <n v="189"/>
    <s v="2025-08-24"/>
    <s v="SKU-1021"/>
    <s v="Furniture"/>
    <s v="WH-Lahore"/>
    <s v="Central"/>
    <s v="Gamma Logistics"/>
    <n v="197"/>
    <n v="173.03"/>
    <n v="266.33"/>
    <n v="12"/>
    <n v="489"/>
    <n v="64"/>
    <x v="1"/>
    <s v="Ok"/>
    <n v="65"/>
    <x v="0"/>
  </r>
  <r>
    <n v="190"/>
    <s v="2025-05-07"/>
    <s v="SKU-1021"/>
    <s v="Furniture"/>
    <s v="WH-Lahore"/>
    <s v="South"/>
    <s v="Gamma Logistics"/>
    <n v="140"/>
    <n v="173.03"/>
    <n v="291.73"/>
    <n v="21"/>
    <n v="247"/>
    <n v="69"/>
    <x v="0"/>
    <s v="Ok"/>
    <n v="65"/>
    <x v="0"/>
  </r>
  <r>
    <n v="191"/>
    <s v="2025-06-28"/>
    <s v="SKU-1024"/>
    <s v="Sports"/>
    <s v="WH-Islamabad"/>
    <s v="North"/>
    <s v="Gamma Logistics"/>
    <n v="111"/>
    <n v="13.94"/>
    <n v="20.14"/>
    <n v="17"/>
    <n v="162"/>
    <n v="142"/>
    <x v="0"/>
    <s v="Ok"/>
    <n v="65"/>
    <x v="0"/>
  </r>
  <r>
    <n v="192"/>
    <s v="2025-06-26"/>
    <s v="SKU-1003"/>
    <s v="Apparel"/>
    <s v="WH-Karachi"/>
    <s v="North"/>
    <s v="Alpha Traders"/>
    <n v="283"/>
    <n v="162.13"/>
    <n v="257.26"/>
    <n v="14"/>
    <n v="458"/>
    <n v="121"/>
    <x v="1"/>
    <s v="Ok"/>
    <n v="92"/>
    <x v="1"/>
  </r>
  <r>
    <n v="193"/>
    <s v="2025-05-12"/>
    <s v="SKU-1009"/>
    <s v="Furniture"/>
    <s v="WH-Karachi"/>
    <s v="South"/>
    <s v="Gamma Logistics"/>
    <n v="45"/>
    <n v="23.09"/>
    <n v="41.05"/>
    <n v="13"/>
    <n v="473"/>
    <n v="133"/>
    <x v="0"/>
    <s v="Ok"/>
    <n v="65"/>
    <x v="0"/>
  </r>
  <r>
    <n v="194"/>
    <s v="2025-05-05"/>
    <s v="SKU-1017"/>
    <s v="Furniture"/>
    <s v="WH-Islamabad"/>
    <s v="South"/>
    <s v="Beta Supply Co"/>
    <n v="75"/>
    <n v="78.81"/>
    <n v="129.88999999999999"/>
    <n v="5"/>
    <n v="315"/>
    <n v="81"/>
    <x v="0"/>
    <s v="Ok"/>
    <n v="78"/>
    <x v="0"/>
  </r>
  <r>
    <n v="195"/>
    <s v="2025-01-03"/>
    <s v="SKU-1001"/>
    <s v="Electronics"/>
    <s v="WH-Karachi"/>
    <s v="North"/>
    <s v="Delta Sourcing"/>
    <n v="174"/>
    <n v="162.84"/>
    <n v="219.85"/>
    <n v="17"/>
    <n v="51"/>
    <n v="55"/>
    <x v="1"/>
    <s v="Reorder Now"/>
    <n v="88"/>
    <x v="1"/>
  </r>
  <r>
    <n v="196"/>
    <s v="2025-02-15"/>
    <s v="SKU-1015"/>
    <s v="Apparel"/>
    <s v="WH-Karachi"/>
    <s v="Central"/>
    <s v="Alpha Traders"/>
    <n v="152"/>
    <n v="109.56"/>
    <n v="178.06"/>
    <n v="12"/>
    <n v="146"/>
    <n v="35"/>
    <x v="0"/>
    <s v="Ok"/>
    <n v="92"/>
    <x v="1"/>
  </r>
  <r>
    <n v="197"/>
    <s v="2025-09-11"/>
    <s v="SKU-1005"/>
    <s v="Apparel"/>
    <s v="WH-Islamabad"/>
    <s v="North"/>
    <s v="Alpha Traders"/>
    <n v="95"/>
    <n v="71.349999999999994"/>
    <n v="107.66"/>
    <n v="3"/>
    <n v="428"/>
    <n v="121"/>
    <x v="0"/>
    <s v="Ok"/>
    <n v="92"/>
    <x v="1"/>
  </r>
  <r>
    <n v="198"/>
    <s v="2025-09-26"/>
    <s v="SKU-1000"/>
    <s v="Electronics"/>
    <s v="WH-Karachi"/>
    <s v="Central"/>
    <s v="Delta Sourcing"/>
    <n v="59"/>
    <n v="119.91"/>
    <n v="173.77"/>
    <n v="12"/>
    <n v="145"/>
    <n v="136"/>
    <x v="0"/>
    <s v="Ok"/>
    <n v="88"/>
    <x v="1"/>
  </r>
  <r>
    <n v="199"/>
    <s v="2025-05-12"/>
    <s v="SKU-1008"/>
    <s v="Electronics"/>
    <s v="WH-Karachi"/>
    <s v="Central"/>
    <s v="Gamma Logistics"/>
    <n v="62"/>
    <n v="70.64"/>
    <n v="98.64"/>
    <n v="12"/>
    <n v="83"/>
    <n v="137"/>
    <x v="0"/>
    <s v="Reorder Now"/>
    <n v="65"/>
    <x v="0"/>
  </r>
  <r>
    <n v="200"/>
    <s v="2025-08-07"/>
    <s v="SKU-1009"/>
    <s v="Furniture"/>
    <s v="WH-Karachi"/>
    <s v="North"/>
    <s v="Alpha Traders"/>
    <n v="103"/>
    <n v="23.09"/>
    <n v="36.57"/>
    <n v="7"/>
    <n v="312"/>
    <n v="123"/>
    <x v="0"/>
    <s v="Ok"/>
    <n v="9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C3D2C-EBBB-4B90-B869-1B0F9980DE45}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E10" firstHeaderRow="1" firstDataRow="2" firstDataCol="1" rowPageCount="1" colPageCount="1"/>
  <pivotFields count="15"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4" hier="-1"/>
  </pageFields>
  <dataFields count="1">
    <dataField name="Count of StockStatus" fld="14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CC528-0290-4AE4-B904-D0D91E41D28D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DeliveryStatus" fld="13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1B30-9134-4A6D-B80C-011C66A4CE9D}">
  <dimension ref="A1:C23"/>
  <sheetViews>
    <sheetView tabSelected="1" topLeftCell="A7" zoomScaleNormal="100" workbookViewId="0">
      <selection activeCell="M19" sqref="M19"/>
    </sheetView>
  </sheetViews>
  <sheetFormatPr defaultRowHeight="14.5" x14ac:dyDescent="0.35"/>
  <cols>
    <col min="1" max="1" width="14.08984375" customWidth="1"/>
    <col min="2" max="2" width="18.1796875" customWidth="1"/>
    <col min="3" max="3" width="25.81640625" customWidth="1"/>
  </cols>
  <sheetData>
    <row r="1" spans="1:3" x14ac:dyDescent="0.35">
      <c r="A1" s="8" t="s">
        <v>222</v>
      </c>
      <c r="B1" s="8" t="s">
        <v>223</v>
      </c>
      <c r="C1" s="8" t="s">
        <v>224</v>
      </c>
    </row>
    <row r="2" spans="1:3" x14ac:dyDescent="0.35">
      <c r="A2">
        <f>COUNTA(Raw_Data!A2:A201)</f>
        <v>200</v>
      </c>
      <c r="B2" s="3">
        <f>COUNTIF(Raw_Data!N2:N201, "Late")/COUNTA(Raw_Data!N2:N201)</f>
        <v>0.18</v>
      </c>
      <c r="C2">
        <f>COUNTIF(Raw_Data!O2:O201, "Reorder Now")</f>
        <v>29</v>
      </c>
    </row>
    <row r="20" spans="1:1" x14ac:dyDescent="0.35">
      <c r="A20" s="9" t="s">
        <v>226</v>
      </c>
    </row>
    <row r="21" spans="1:1" x14ac:dyDescent="0.35">
      <c r="A21" t="s">
        <v>227</v>
      </c>
    </row>
    <row r="22" spans="1:1" x14ac:dyDescent="0.35">
      <c r="A22" t="s">
        <v>228</v>
      </c>
    </row>
    <row r="23" spans="1:1" x14ac:dyDescent="0.35">
      <c r="A23" t="s">
        <v>229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4.5" x14ac:dyDescent="0.35"/>
  <sheetData>
    <row r="1" spans="1:1" ht="18.5" x14ac:dyDescent="0.45">
      <c r="A1" s="2" t="s">
        <v>195</v>
      </c>
    </row>
    <row r="3" spans="1:1" x14ac:dyDescent="0.35">
      <c r="A3" t="s">
        <v>196</v>
      </c>
    </row>
    <row r="4" spans="1:1" x14ac:dyDescent="0.35">
      <c r="A4" t="s">
        <v>197</v>
      </c>
    </row>
    <row r="6" spans="1:1" x14ac:dyDescent="0.35">
      <c r="A6" t="s">
        <v>198</v>
      </c>
    </row>
    <row r="7" spans="1:1" x14ac:dyDescent="0.35">
      <c r="A7" t="s">
        <v>199</v>
      </c>
    </row>
    <row r="8" spans="1:1" x14ac:dyDescent="0.35">
      <c r="A8" t="s">
        <v>200</v>
      </c>
    </row>
    <row r="9" spans="1:1" x14ac:dyDescent="0.35">
      <c r="A9" t="s">
        <v>201</v>
      </c>
    </row>
    <row r="10" spans="1:1" x14ac:dyDescent="0.35">
      <c r="A10" t="s">
        <v>202</v>
      </c>
    </row>
    <row r="11" spans="1:1" x14ac:dyDescent="0.35">
      <c r="A11" t="s">
        <v>203</v>
      </c>
    </row>
    <row r="12" spans="1:1" x14ac:dyDescent="0.35">
      <c r="A12" t="s">
        <v>204</v>
      </c>
    </row>
    <row r="13" spans="1:1" x14ac:dyDescent="0.35">
      <c r="A13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64437-4B1F-4003-85B2-0A6B7FDB7BE3}">
  <dimension ref="A1:E10"/>
  <sheetViews>
    <sheetView workbookViewId="0">
      <selection activeCell="A4" sqref="A4:D9"/>
    </sheetView>
  </sheetViews>
  <sheetFormatPr defaultRowHeight="14.5" x14ac:dyDescent="0.35"/>
  <cols>
    <col min="1" max="1" width="18.54296875" bestFit="1" customWidth="1"/>
    <col min="2" max="2" width="15.26953125" bestFit="1" customWidth="1"/>
    <col min="3" max="3" width="10.7265625" bestFit="1" customWidth="1"/>
    <col min="4" max="4" width="10.26953125" bestFit="1" customWidth="1"/>
    <col min="5" max="5" width="10.7265625" bestFit="1" customWidth="1"/>
  </cols>
  <sheetData>
    <row r="1" spans="1:5" x14ac:dyDescent="0.35">
      <c r="A1" s="4" t="s">
        <v>211</v>
      </c>
      <c r="B1" t="s">
        <v>216</v>
      </c>
    </row>
    <row r="3" spans="1:5" x14ac:dyDescent="0.35">
      <c r="A3" s="4" t="s">
        <v>215</v>
      </c>
      <c r="B3" s="4" t="s">
        <v>214</v>
      </c>
    </row>
    <row r="4" spans="1:5" x14ac:dyDescent="0.35">
      <c r="A4" s="4" t="s">
        <v>212</v>
      </c>
      <c r="B4" t="s">
        <v>17</v>
      </c>
      <c r="C4" t="s">
        <v>27</v>
      </c>
      <c r="D4" t="s">
        <v>24</v>
      </c>
      <c r="E4" t="s">
        <v>213</v>
      </c>
    </row>
    <row r="5" spans="1:5" x14ac:dyDescent="0.35">
      <c r="A5" s="5" t="s">
        <v>35</v>
      </c>
      <c r="B5" s="6">
        <v>2</v>
      </c>
      <c r="C5" s="6">
        <v>3</v>
      </c>
      <c r="D5" s="6">
        <v>3</v>
      </c>
      <c r="E5" s="6">
        <v>8</v>
      </c>
    </row>
    <row r="6" spans="1:5" x14ac:dyDescent="0.35">
      <c r="A6" s="5" t="s">
        <v>23</v>
      </c>
      <c r="B6" s="6">
        <v>4</v>
      </c>
      <c r="C6" s="6">
        <v>4</v>
      </c>
      <c r="D6" s="6">
        <v>3</v>
      </c>
      <c r="E6" s="6">
        <v>11</v>
      </c>
    </row>
    <row r="7" spans="1:5" x14ac:dyDescent="0.35">
      <c r="A7" s="5" t="s">
        <v>16</v>
      </c>
      <c r="B7" s="6">
        <v>1</v>
      </c>
      <c r="C7" s="6">
        <v>2</v>
      </c>
      <c r="D7" s="6">
        <v>2</v>
      </c>
      <c r="E7" s="6">
        <v>5</v>
      </c>
    </row>
    <row r="8" spans="1:5" x14ac:dyDescent="0.35">
      <c r="A8" s="5" t="s">
        <v>89</v>
      </c>
      <c r="B8" s="6">
        <v>1</v>
      </c>
      <c r="C8" s="6"/>
      <c r="D8" s="6"/>
      <c r="E8" s="6">
        <v>1</v>
      </c>
    </row>
    <row r="9" spans="1:5" x14ac:dyDescent="0.35">
      <c r="A9" s="5" t="s">
        <v>50</v>
      </c>
      <c r="B9" s="6"/>
      <c r="C9" s="6">
        <v>3</v>
      </c>
      <c r="D9" s="6">
        <v>1</v>
      </c>
      <c r="E9" s="6">
        <v>4</v>
      </c>
    </row>
    <row r="10" spans="1:5" x14ac:dyDescent="0.35">
      <c r="A10" s="5" t="s">
        <v>213</v>
      </c>
      <c r="B10" s="6">
        <v>8</v>
      </c>
      <c r="C10" s="6">
        <v>12</v>
      </c>
      <c r="D10" s="6">
        <v>9</v>
      </c>
      <c r="E10" s="6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C1A7-2774-4412-B4D2-1C1E7B3D72D3}">
  <dimension ref="A1:D5"/>
  <sheetViews>
    <sheetView workbookViewId="0">
      <selection activeCell="C11" sqref="C11"/>
    </sheetView>
  </sheetViews>
  <sheetFormatPr defaultRowHeight="14.5" x14ac:dyDescent="0.35"/>
  <cols>
    <col min="1" max="1" width="22.7265625" customWidth="1"/>
    <col min="2" max="2" width="16.90625" customWidth="1"/>
    <col min="3" max="3" width="17.54296875" customWidth="1"/>
    <col min="4" max="4" width="22.54296875" customWidth="1"/>
  </cols>
  <sheetData>
    <row r="1" spans="1:4" x14ac:dyDescent="0.35">
      <c r="A1" s="7" t="s">
        <v>6</v>
      </c>
      <c r="B1" s="7" t="s">
        <v>217</v>
      </c>
      <c r="C1" s="7" t="s">
        <v>218</v>
      </c>
      <c r="D1" s="7" t="s">
        <v>219</v>
      </c>
    </row>
    <row r="2" spans="1:4" x14ac:dyDescent="0.35">
      <c r="A2" t="s">
        <v>51</v>
      </c>
      <c r="B2">
        <v>92</v>
      </c>
      <c r="C2">
        <v>6</v>
      </c>
      <c r="D2" t="s">
        <v>220</v>
      </c>
    </row>
    <row r="3" spans="1:4" x14ac:dyDescent="0.35">
      <c r="A3" t="s">
        <v>19</v>
      </c>
      <c r="B3">
        <v>78</v>
      </c>
      <c r="C3">
        <v>11</v>
      </c>
      <c r="D3" t="s">
        <v>221</v>
      </c>
    </row>
    <row r="4" spans="1:4" x14ac:dyDescent="0.35">
      <c r="A4" t="s">
        <v>29</v>
      </c>
      <c r="B4">
        <v>65</v>
      </c>
      <c r="C4">
        <v>15</v>
      </c>
      <c r="D4" t="s">
        <v>221</v>
      </c>
    </row>
    <row r="5" spans="1:4" x14ac:dyDescent="0.35">
      <c r="A5" t="s">
        <v>40</v>
      </c>
      <c r="B5">
        <v>88</v>
      </c>
      <c r="C5">
        <v>8</v>
      </c>
      <c r="D5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C1E0-9A20-4888-B7EF-FFF736B94E09}">
  <dimension ref="A3:D7"/>
  <sheetViews>
    <sheetView workbookViewId="0">
      <selection activeCell="F18" sqref="F18"/>
    </sheetView>
  </sheetViews>
  <sheetFormatPr defaultRowHeight="14.5" x14ac:dyDescent="0.35"/>
  <cols>
    <col min="1" max="1" width="20.7265625" bestFit="1" customWidth="1"/>
    <col min="2" max="2" width="15.26953125" bestFit="1" customWidth="1"/>
    <col min="3" max="3" width="8" bestFit="1" customWidth="1"/>
    <col min="4" max="4" width="10.7265625" bestFit="1" customWidth="1"/>
  </cols>
  <sheetData>
    <row r="3" spans="1:4" x14ac:dyDescent="0.35">
      <c r="A3" s="4" t="s">
        <v>225</v>
      </c>
      <c r="B3" s="4" t="s">
        <v>214</v>
      </c>
    </row>
    <row r="4" spans="1:4" x14ac:dyDescent="0.35">
      <c r="A4" s="4" t="s">
        <v>212</v>
      </c>
      <c r="B4" t="s">
        <v>43</v>
      </c>
      <c r="C4" t="s">
        <v>20</v>
      </c>
      <c r="D4" t="s">
        <v>213</v>
      </c>
    </row>
    <row r="5" spans="1:4" x14ac:dyDescent="0.35">
      <c r="A5" s="5" t="s">
        <v>220</v>
      </c>
      <c r="B5" s="6">
        <v>22</v>
      </c>
      <c r="C5" s="6">
        <v>72</v>
      </c>
      <c r="D5" s="6">
        <v>94</v>
      </c>
    </row>
    <row r="6" spans="1:4" x14ac:dyDescent="0.35">
      <c r="A6" s="5" t="s">
        <v>221</v>
      </c>
      <c r="B6" s="6">
        <v>14</v>
      </c>
      <c r="C6" s="6">
        <v>92</v>
      </c>
      <c r="D6" s="6">
        <v>106</v>
      </c>
    </row>
    <row r="7" spans="1:4" x14ac:dyDescent="0.35">
      <c r="A7" s="5" t="s">
        <v>213</v>
      </c>
      <c r="B7" s="6">
        <v>36</v>
      </c>
      <c r="C7" s="6">
        <v>164</v>
      </c>
      <c r="D7" s="6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"/>
  <sheetViews>
    <sheetView topLeftCell="F1" workbookViewId="0">
      <pane ySplit="1" topLeftCell="A182" activePane="bottomLeft" state="frozen"/>
      <selection pane="bottomLeft"/>
    </sheetView>
  </sheetViews>
  <sheetFormatPr defaultRowHeight="14.5" x14ac:dyDescent="0.35"/>
  <cols>
    <col min="1" max="1" width="25" customWidth="1"/>
    <col min="2" max="2" width="12" customWidth="1"/>
    <col min="3" max="3" width="10" customWidth="1"/>
    <col min="4" max="4" width="16" customWidth="1"/>
    <col min="5" max="5" width="12" customWidth="1"/>
    <col min="6" max="6" width="10" customWidth="1"/>
    <col min="7" max="7" width="14" customWidth="1"/>
    <col min="8" max="8" width="15" customWidth="1"/>
    <col min="9" max="10" width="10" customWidth="1"/>
    <col min="11" max="12" width="13" customWidth="1"/>
    <col min="13" max="13" width="14" customWidth="1"/>
    <col min="14" max="14" width="15" customWidth="1"/>
    <col min="15" max="15" width="16.1796875" customWidth="1"/>
    <col min="16" max="16" width="19.6328125" customWidth="1"/>
    <col min="17" max="17" width="18.0898437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211</v>
      </c>
      <c r="P1" s="1" t="s">
        <v>217</v>
      </c>
      <c r="Q1" s="1" t="s">
        <v>219</v>
      </c>
    </row>
    <row r="2" spans="1:17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45</v>
      </c>
      <c r="I2">
        <v>191.66</v>
      </c>
      <c r="J2">
        <v>323.24</v>
      </c>
      <c r="K2">
        <v>9</v>
      </c>
      <c r="L2">
        <v>443</v>
      </c>
      <c r="M2">
        <v>45</v>
      </c>
      <c r="N2" t="s">
        <v>20</v>
      </c>
      <c r="O2" t="str">
        <f>IF(L2&lt;M2, "Reorder Now", "Ok")</f>
        <v>Ok</v>
      </c>
      <c r="P2">
        <f>VLOOKUP(G2, Supplier_Info!$A$1:$D$5, 2, FALSE)</f>
        <v>78</v>
      </c>
      <c r="Q2" t="str">
        <f>VLOOKUP(G2, Supplier_Info!$A$1:$D$5, 4, FALSE)</f>
        <v>Standard</v>
      </c>
    </row>
    <row r="3" spans="1:17" x14ac:dyDescent="0.35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>
        <v>141</v>
      </c>
      <c r="I3">
        <v>170.26</v>
      </c>
      <c r="J3">
        <v>251.58</v>
      </c>
      <c r="K3">
        <v>4</v>
      </c>
      <c r="L3">
        <v>311</v>
      </c>
      <c r="M3">
        <v>63</v>
      </c>
      <c r="N3" t="s">
        <v>20</v>
      </c>
      <c r="O3" t="str">
        <f t="shared" ref="O3:O66" si="0">IF(L3&lt;M3, "Reorder Now", "Ok")</f>
        <v>Ok</v>
      </c>
      <c r="P3">
        <f>VLOOKUP(G3, Supplier_Info!$A$1:$D$5, 2, FALSE)</f>
        <v>78</v>
      </c>
      <c r="Q3" t="str">
        <f>VLOOKUP(G3, Supplier_Info!$A$1:$D$5, 4, FALSE)</f>
        <v>Standard</v>
      </c>
    </row>
    <row r="4" spans="1:17" x14ac:dyDescent="0.35">
      <c r="A4">
        <v>3</v>
      </c>
      <c r="B4" t="s">
        <v>25</v>
      </c>
      <c r="C4" t="s">
        <v>26</v>
      </c>
      <c r="D4" t="s">
        <v>16</v>
      </c>
      <c r="E4" t="s">
        <v>27</v>
      </c>
      <c r="F4" t="s">
        <v>28</v>
      </c>
      <c r="G4" t="s">
        <v>29</v>
      </c>
      <c r="H4">
        <v>33</v>
      </c>
      <c r="I4">
        <v>173.03</v>
      </c>
      <c r="J4">
        <v>252.99</v>
      </c>
      <c r="K4">
        <v>9</v>
      </c>
      <c r="L4">
        <v>420</v>
      </c>
      <c r="M4">
        <v>28</v>
      </c>
      <c r="N4" t="s">
        <v>20</v>
      </c>
      <c r="O4" t="str">
        <f t="shared" si="0"/>
        <v>Ok</v>
      </c>
      <c r="P4">
        <f>VLOOKUP(G4, Supplier_Info!$A$1:$D$5, 2, FALSE)</f>
        <v>65</v>
      </c>
      <c r="Q4" t="str">
        <f>VLOOKUP(G4, Supplier_Info!$A$1:$D$5, 4, FALSE)</f>
        <v>Standard</v>
      </c>
    </row>
    <row r="5" spans="1:17" x14ac:dyDescent="0.35">
      <c r="A5">
        <v>4</v>
      </c>
      <c r="B5" t="s">
        <v>30</v>
      </c>
      <c r="C5" t="s">
        <v>31</v>
      </c>
      <c r="D5" t="s">
        <v>23</v>
      </c>
      <c r="E5" t="s">
        <v>17</v>
      </c>
      <c r="F5" t="s">
        <v>32</v>
      </c>
      <c r="G5" t="s">
        <v>29</v>
      </c>
      <c r="H5">
        <v>207</v>
      </c>
      <c r="I5">
        <v>35.32</v>
      </c>
      <c r="J5">
        <v>57.49</v>
      </c>
      <c r="K5">
        <v>16</v>
      </c>
      <c r="L5">
        <v>73</v>
      </c>
      <c r="M5">
        <v>87</v>
      </c>
      <c r="N5" t="s">
        <v>20</v>
      </c>
      <c r="O5" t="str">
        <f t="shared" si="0"/>
        <v>Reorder Now</v>
      </c>
      <c r="P5">
        <f>VLOOKUP(G5, Supplier_Info!$A$1:$D$5, 2, FALSE)</f>
        <v>65</v>
      </c>
      <c r="Q5" t="str">
        <f>VLOOKUP(G5, Supplier_Info!$A$1:$D$5, 4, FALSE)</f>
        <v>Standard</v>
      </c>
    </row>
    <row r="6" spans="1:17" x14ac:dyDescent="0.35">
      <c r="A6">
        <v>5</v>
      </c>
      <c r="B6" t="s">
        <v>33</v>
      </c>
      <c r="C6" t="s">
        <v>34</v>
      </c>
      <c r="D6" t="s">
        <v>35</v>
      </c>
      <c r="E6" t="s">
        <v>27</v>
      </c>
      <c r="F6" t="s">
        <v>28</v>
      </c>
      <c r="G6" t="s">
        <v>19</v>
      </c>
      <c r="H6">
        <v>209</v>
      </c>
      <c r="I6">
        <v>142.38999999999999</v>
      </c>
      <c r="J6">
        <v>226.73</v>
      </c>
      <c r="K6">
        <v>13</v>
      </c>
      <c r="L6">
        <v>112</v>
      </c>
      <c r="M6">
        <v>55</v>
      </c>
      <c r="N6" t="s">
        <v>20</v>
      </c>
      <c r="O6" t="str">
        <f t="shared" si="0"/>
        <v>Ok</v>
      </c>
      <c r="P6">
        <f>VLOOKUP(G6, Supplier_Info!$A$1:$D$5, 2, FALSE)</f>
        <v>78</v>
      </c>
      <c r="Q6" t="str">
        <f>VLOOKUP(G6, Supplier_Info!$A$1:$D$5, 4, FALSE)</f>
        <v>Standard</v>
      </c>
    </row>
    <row r="7" spans="1:17" x14ac:dyDescent="0.35">
      <c r="A7">
        <v>6</v>
      </c>
      <c r="B7" t="s">
        <v>36</v>
      </c>
      <c r="C7" t="s">
        <v>37</v>
      </c>
      <c r="D7" t="s">
        <v>35</v>
      </c>
      <c r="E7" t="s">
        <v>24</v>
      </c>
      <c r="F7" t="s">
        <v>32</v>
      </c>
      <c r="G7" t="s">
        <v>29</v>
      </c>
      <c r="H7">
        <v>221</v>
      </c>
      <c r="I7">
        <v>125.61</v>
      </c>
      <c r="J7">
        <v>173.34</v>
      </c>
      <c r="K7">
        <v>21</v>
      </c>
      <c r="L7">
        <v>32</v>
      </c>
      <c r="M7">
        <v>118</v>
      </c>
      <c r="N7" t="s">
        <v>20</v>
      </c>
      <c r="O7" t="str">
        <f t="shared" si="0"/>
        <v>Reorder Now</v>
      </c>
      <c r="P7">
        <f>VLOOKUP(G7, Supplier_Info!$A$1:$D$5, 2, FALSE)</f>
        <v>65</v>
      </c>
      <c r="Q7" t="str">
        <f>VLOOKUP(G7, Supplier_Info!$A$1:$D$5, 4, FALSE)</f>
        <v>Standard</v>
      </c>
    </row>
    <row r="8" spans="1:17" x14ac:dyDescent="0.35">
      <c r="A8">
        <v>7</v>
      </c>
      <c r="B8" t="s">
        <v>38</v>
      </c>
      <c r="C8" t="s">
        <v>39</v>
      </c>
      <c r="D8" t="s">
        <v>16</v>
      </c>
      <c r="E8" t="s">
        <v>24</v>
      </c>
      <c r="F8" t="s">
        <v>28</v>
      </c>
      <c r="G8" t="s">
        <v>40</v>
      </c>
      <c r="H8">
        <v>10</v>
      </c>
      <c r="I8">
        <v>78.81</v>
      </c>
      <c r="J8">
        <v>136.37</v>
      </c>
      <c r="K8">
        <v>5</v>
      </c>
      <c r="L8">
        <v>349</v>
      </c>
      <c r="M8">
        <v>88</v>
      </c>
      <c r="N8" t="s">
        <v>20</v>
      </c>
      <c r="O8" t="str">
        <f t="shared" si="0"/>
        <v>Ok</v>
      </c>
      <c r="P8">
        <f>VLOOKUP(G8, Supplier_Info!$A$1:$D$5, 2, FALSE)</f>
        <v>88</v>
      </c>
      <c r="Q8" t="str">
        <f>VLOOKUP(G8, Supplier_Info!$A$1:$D$5, 4, FALSE)</f>
        <v>Preferred</v>
      </c>
    </row>
    <row r="9" spans="1:17" x14ac:dyDescent="0.35">
      <c r="A9">
        <v>8</v>
      </c>
      <c r="B9" t="s">
        <v>41</v>
      </c>
      <c r="C9" t="s">
        <v>42</v>
      </c>
      <c r="D9" t="s">
        <v>23</v>
      </c>
      <c r="E9" t="s">
        <v>17</v>
      </c>
      <c r="F9" t="s">
        <v>18</v>
      </c>
      <c r="G9" t="s">
        <v>19</v>
      </c>
      <c r="H9">
        <v>139</v>
      </c>
      <c r="I9">
        <v>119.91</v>
      </c>
      <c r="J9">
        <v>213.07</v>
      </c>
      <c r="K9">
        <v>18</v>
      </c>
      <c r="L9">
        <v>390</v>
      </c>
      <c r="M9">
        <v>65</v>
      </c>
      <c r="N9" t="s">
        <v>43</v>
      </c>
      <c r="O9" t="str">
        <f t="shared" si="0"/>
        <v>Ok</v>
      </c>
      <c r="P9">
        <f>VLOOKUP(G9, Supplier_Info!$A$1:$D$5, 2, FALSE)</f>
        <v>78</v>
      </c>
      <c r="Q9" t="str">
        <f>VLOOKUP(G9, Supplier_Info!$A$1:$D$5, 4, FALSE)</f>
        <v>Standard</v>
      </c>
    </row>
    <row r="10" spans="1:17" x14ac:dyDescent="0.35">
      <c r="A10">
        <v>9</v>
      </c>
      <c r="B10" t="s">
        <v>44</v>
      </c>
      <c r="C10" t="s">
        <v>45</v>
      </c>
      <c r="D10" t="s">
        <v>35</v>
      </c>
      <c r="E10" t="s">
        <v>27</v>
      </c>
      <c r="F10" t="s">
        <v>18</v>
      </c>
      <c r="G10" t="s">
        <v>29</v>
      </c>
      <c r="H10">
        <v>87</v>
      </c>
      <c r="I10">
        <v>141.13999999999999</v>
      </c>
      <c r="J10">
        <v>209.87</v>
      </c>
      <c r="K10">
        <v>19</v>
      </c>
      <c r="L10">
        <v>488</v>
      </c>
      <c r="M10">
        <v>20</v>
      </c>
      <c r="N10" t="s">
        <v>20</v>
      </c>
      <c r="O10" t="str">
        <f t="shared" si="0"/>
        <v>Ok</v>
      </c>
      <c r="P10">
        <f>VLOOKUP(G10, Supplier_Info!$A$1:$D$5, 2, FALSE)</f>
        <v>65</v>
      </c>
      <c r="Q10" t="str">
        <f>VLOOKUP(G10, Supplier_Info!$A$1:$D$5, 4, FALSE)</f>
        <v>Standard</v>
      </c>
    </row>
    <row r="11" spans="1:17" x14ac:dyDescent="0.35">
      <c r="A11">
        <v>10</v>
      </c>
      <c r="B11" t="s">
        <v>46</v>
      </c>
      <c r="C11" t="s">
        <v>15</v>
      </c>
      <c r="D11" t="s">
        <v>16</v>
      </c>
      <c r="E11" t="s">
        <v>17</v>
      </c>
      <c r="F11" t="s">
        <v>28</v>
      </c>
      <c r="G11" t="s">
        <v>19</v>
      </c>
      <c r="H11">
        <v>295</v>
      </c>
      <c r="I11">
        <v>191.66</v>
      </c>
      <c r="J11">
        <v>254.71</v>
      </c>
      <c r="K11">
        <v>4</v>
      </c>
      <c r="L11">
        <v>43</v>
      </c>
      <c r="M11">
        <v>144</v>
      </c>
      <c r="N11" t="s">
        <v>43</v>
      </c>
      <c r="O11" t="str">
        <f t="shared" si="0"/>
        <v>Reorder Now</v>
      </c>
      <c r="P11">
        <f>VLOOKUP(G11, Supplier_Info!$A$1:$D$5, 2, FALSE)</f>
        <v>78</v>
      </c>
      <c r="Q11" t="str">
        <f>VLOOKUP(G11, Supplier_Info!$A$1:$D$5, 4, FALSE)</f>
        <v>Standard</v>
      </c>
    </row>
    <row r="12" spans="1:17" x14ac:dyDescent="0.35">
      <c r="A12">
        <v>11</v>
      </c>
      <c r="B12" t="s">
        <v>47</v>
      </c>
      <c r="C12" t="s">
        <v>26</v>
      </c>
      <c r="D12" t="s">
        <v>16</v>
      </c>
      <c r="E12" t="s">
        <v>17</v>
      </c>
      <c r="F12" t="s">
        <v>32</v>
      </c>
      <c r="G12" t="s">
        <v>19</v>
      </c>
      <c r="H12">
        <v>286</v>
      </c>
      <c r="I12">
        <v>173.03</v>
      </c>
      <c r="J12">
        <v>266.06</v>
      </c>
      <c r="K12">
        <v>7</v>
      </c>
      <c r="L12">
        <v>135</v>
      </c>
      <c r="M12">
        <v>128</v>
      </c>
      <c r="N12" t="s">
        <v>43</v>
      </c>
      <c r="O12" t="str">
        <f t="shared" si="0"/>
        <v>Ok</v>
      </c>
      <c r="P12">
        <f>VLOOKUP(G12, Supplier_Info!$A$1:$D$5, 2, FALSE)</f>
        <v>78</v>
      </c>
      <c r="Q12" t="str">
        <f>VLOOKUP(G12, Supplier_Info!$A$1:$D$5, 4, FALSE)</f>
        <v>Standard</v>
      </c>
    </row>
    <row r="13" spans="1:17" x14ac:dyDescent="0.35">
      <c r="A13">
        <v>12</v>
      </c>
      <c r="B13" t="s">
        <v>48</v>
      </c>
      <c r="C13" t="s">
        <v>49</v>
      </c>
      <c r="D13" t="s">
        <v>50</v>
      </c>
      <c r="E13" t="s">
        <v>27</v>
      </c>
      <c r="F13" t="s">
        <v>18</v>
      </c>
      <c r="G13" t="s">
        <v>51</v>
      </c>
      <c r="H13">
        <v>196</v>
      </c>
      <c r="I13">
        <v>117.58</v>
      </c>
      <c r="J13">
        <v>171.18</v>
      </c>
      <c r="K13">
        <v>16</v>
      </c>
      <c r="L13">
        <v>460</v>
      </c>
      <c r="M13">
        <v>135</v>
      </c>
      <c r="N13" t="s">
        <v>20</v>
      </c>
      <c r="O13" t="str">
        <f t="shared" si="0"/>
        <v>Ok</v>
      </c>
      <c r="P13">
        <f>VLOOKUP(G13, Supplier_Info!$A$1:$D$5, 2, FALSE)</f>
        <v>92</v>
      </c>
      <c r="Q13" t="str">
        <f>VLOOKUP(G13, Supplier_Info!$A$1:$D$5, 4, FALSE)</f>
        <v>Preferred</v>
      </c>
    </row>
    <row r="14" spans="1:17" x14ac:dyDescent="0.35">
      <c r="A14">
        <v>13</v>
      </c>
      <c r="B14" t="s">
        <v>52</v>
      </c>
      <c r="C14" t="s">
        <v>53</v>
      </c>
      <c r="D14" t="s">
        <v>23</v>
      </c>
      <c r="E14" t="s">
        <v>27</v>
      </c>
      <c r="F14" t="s">
        <v>18</v>
      </c>
      <c r="G14" t="s">
        <v>51</v>
      </c>
      <c r="H14">
        <v>117</v>
      </c>
      <c r="I14">
        <v>112.65</v>
      </c>
      <c r="J14">
        <v>177.64</v>
      </c>
      <c r="K14">
        <v>2</v>
      </c>
      <c r="L14">
        <v>36</v>
      </c>
      <c r="M14">
        <v>35</v>
      </c>
      <c r="N14" t="s">
        <v>20</v>
      </c>
      <c r="O14" t="str">
        <f t="shared" si="0"/>
        <v>Ok</v>
      </c>
      <c r="P14">
        <f>VLOOKUP(G14, Supplier_Info!$A$1:$D$5, 2, FALSE)</f>
        <v>92</v>
      </c>
      <c r="Q14" t="str">
        <f>VLOOKUP(G14, Supplier_Info!$A$1:$D$5, 4, FALSE)</f>
        <v>Preferred</v>
      </c>
    </row>
    <row r="15" spans="1:17" x14ac:dyDescent="0.35">
      <c r="A15">
        <v>14</v>
      </c>
      <c r="B15" t="s">
        <v>54</v>
      </c>
      <c r="C15" t="s">
        <v>55</v>
      </c>
      <c r="D15" t="s">
        <v>16</v>
      </c>
      <c r="E15" t="s">
        <v>24</v>
      </c>
      <c r="F15" t="s">
        <v>18</v>
      </c>
      <c r="G15" t="s">
        <v>19</v>
      </c>
      <c r="H15">
        <v>253</v>
      </c>
      <c r="I15">
        <v>194.76</v>
      </c>
      <c r="J15">
        <v>276.36</v>
      </c>
      <c r="K15">
        <v>8</v>
      </c>
      <c r="L15">
        <v>276</v>
      </c>
      <c r="M15">
        <v>53</v>
      </c>
      <c r="N15" t="s">
        <v>20</v>
      </c>
      <c r="O15" t="str">
        <f t="shared" si="0"/>
        <v>Ok</v>
      </c>
      <c r="P15">
        <f>VLOOKUP(G15, Supplier_Info!$A$1:$D$5, 2, FALSE)</f>
        <v>78</v>
      </c>
      <c r="Q15" t="str">
        <f>VLOOKUP(G15, Supplier_Info!$A$1:$D$5, 4, FALSE)</f>
        <v>Standard</v>
      </c>
    </row>
    <row r="16" spans="1:17" x14ac:dyDescent="0.35">
      <c r="A16">
        <v>15</v>
      </c>
      <c r="B16" t="s">
        <v>56</v>
      </c>
      <c r="C16" t="s">
        <v>57</v>
      </c>
      <c r="D16" t="s">
        <v>35</v>
      </c>
      <c r="E16" t="s">
        <v>27</v>
      </c>
      <c r="F16" t="s">
        <v>32</v>
      </c>
      <c r="G16" t="s">
        <v>51</v>
      </c>
      <c r="H16">
        <v>225</v>
      </c>
      <c r="I16">
        <v>162.13</v>
      </c>
      <c r="J16">
        <v>218.63</v>
      </c>
      <c r="K16">
        <v>13</v>
      </c>
      <c r="L16">
        <v>216</v>
      </c>
      <c r="M16">
        <v>125</v>
      </c>
      <c r="N16" t="s">
        <v>43</v>
      </c>
      <c r="O16" t="str">
        <f t="shared" si="0"/>
        <v>Ok</v>
      </c>
      <c r="P16">
        <f>VLOOKUP(G16, Supplier_Info!$A$1:$D$5, 2, FALSE)</f>
        <v>92</v>
      </c>
      <c r="Q16" t="str">
        <f>VLOOKUP(G16, Supplier_Info!$A$1:$D$5, 4, FALSE)</f>
        <v>Preferred</v>
      </c>
    </row>
    <row r="17" spans="1:17" x14ac:dyDescent="0.35">
      <c r="A17">
        <v>16</v>
      </c>
      <c r="B17" t="s">
        <v>58</v>
      </c>
      <c r="C17" t="s">
        <v>59</v>
      </c>
      <c r="D17" t="s">
        <v>23</v>
      </c>
      <c r="E17" t="s">
        <v>27</v>
      </c>
      <c r="F17" t="s">
        <v>18</v>
      </c>
      <c r="G17" t="s">
        <v>19</v>
      </c>
      <c r="H17">
        <v>178</v>
      </c>
      <c r="I17">
        <v>162.84</v>
      </c>
      <c r="J17">
        <v>244.47</v>
      </c>
      <c r="K17">
        <v>5</v>
      </c>
      <c r="L17">
        <v>127</v>
      </c>
      <c r="M17">
        <v>69</v>
      </c>
      <c r="N17" t="s">
        <v>20</v>
      </c>
      <c r="O17" t="str">
        <f t="shared" si="0"/>
        <v>Ok</v>
      </c>
      <c r="P17">
        <f>VLOOKUP(G17, Supplier_Info!$A$1:$D$5, 2, FALSE)</f>
        <v>78</v>
      </c>
      <c r="Q17" t="str">
        <f>VLOOKUP(G17, Supplier_Info!$A$1:$D$5, 4, FALSE)</f>
        <v>Standard</v>
      </c>
    </row>
    <row r="18" spans="1:17" x14ac:dyDescent="0.35">
      <c r="A18">
        <v>17</v>
      </c>
      <c r="B18" t="s">
        <v>60</v>
      </c>
      <c r="C18" t="s">
        <v>61</v>
      </c>
      <c r="D18" t="s">
        <v>23</v>
      </c>
      <c r="E18" t="s">
        <v>17</v>
      </c>
      <c r="F18" t="s">
        <v>28</v>
      </c>
      <c r="G18" t="s">
        <v>51</v>
      </c>
      <c r="H18">
        <v>43</v>
      </c>
      <c r="I18">
        <v>70.64</v>
      </c>
      <c r="J18">
        <v>108.17</v>
      </c>
      <c r="K18">
        <v>16</v>
      </c>
      <c r="L18">
        <v>413</v>
      </c>
      <c r="M18">
        <v>45</v>
      </c>
      <c r="N18" t="s">
        <v>20</v>
      </c>
      <c r="O18" t="str">
        <f t="shared" si="0"/>
        <v>Ok</v>
      </c>
      <c r="P18">
        <f>VLOOKUP(G18, Supplier_Info!$A$1:$D$5, 2, FALSE)</f>
        <v>92</v>
      </c>
      <c r="Q18" t="str">
        <f>VLOOKUP(G18, Supplier_Info!$A$1:$D$5, 4, FALSE)</f>
        <v>Preferred</v>
      </c>
    </row>
    <row r="19" spans="1:17" x14ac:dyDescent="0.35">
      <c r="A19">
        <v>18</v>
      </c>
      <c r="B19" t="s">
        <v>62</v>
      </c>
      <c r="C19" t="s">
        <v>63</v>
      </c>
      <c r="D19" t="s">
        <v>50</v>
      </c>
      <c r="E19" t="s">
        <v>27</v>
      </c>
      <c r="F19" t="s">
        <v>28</v>
      </c>
      <c r="G19" t="s">
        <v>40</v>
      </c>
      <c r="H19">
        <v>90</v>
      </c>
      <c r="I19">
        <v>13.94</v>
      </c>
      <c r="J19">
        <v>24.04</v>
      </c>
      <c r="K19">
        <v>15</v>
      </c>
      <c r="L19">
        <v>248</v>
      </c>
      <c r="M19">
        <v>143</v>
      </c>
      <c r="N19" t="s">
        <v>43</v>
      </c>
      <c r="O19" t="str">
        <f t="shared" si="0"/>
        <v>Ok</v>
      </c>
      <c r="P19">
        <f>VLOOKUP(G19, Supplier_Info!$A$1:$D$5, 2, FALSE)</f>
        <v>88</v>
      </c>
      <c r="Q19" t="str">
        <f>VLOOKUP(G19, Supplier_Info!$A$1:$D$5, 4, FALSE)</f>
        <v>Preferred</v>
      </c>
    </row>
    <row r="20" spans="1:17" x14ac:dyDescent="0.35">
      <c r="A20">
        <v>19</v>
      </c>
      <c r="B20" t="s">
        <v>64</v>
      </c>
      <c r="C20" t="s">
        <v>42</v>
      </c>
      <c r="D20" t="s">
        <v>23</v>
      </c>
      <c r="E20" t="s">
        <v>24</v>
      </c>
      <c r="F20" t="s">
        <v>28</v>
      </c>
      <c r="G20" t="s">
        <v>51</v>
      </c>
      <c r="H20">
        <v>140</v>
      </c>
      <c r="I20">
        <v>119.91</v>
      </c>
      <c r="J20">
        <v>214.96</v>
      </c>
      <c r="K20">
        <v>16</v>
      </c>
      <c r="L20">
        <v>146</v>
      </c>
      <c r="M20">
        <v>128</v>
      </c>
      <c r="N20" t="s">
        <v>20</v>
      </c>
      <c r="O20" t="str">
        <f t="shared" si="0"/>
        <v>Ok</v>
      </c>
      <c r="P20">
        <f>VLOOKUP(G20, Supplier_Info!$A$1:$D$5, 2, FALSE)</f>
        <v>92</v>
      </c>
      <c r="Q20" t="str">
        <f>VLOOKUP(G20, Supplier_Info!$A$1:$D$5, 4, FALSE)</f>
        <v>Preferred</v>
      </c>
    </row>
    <row r="21" spans="1:17" x14ac:dyDescent="0.35">
      <c r="A21">
        <v>20</v>
      </c>
      <c r="B21" t="s">
        <v>65</v>
      </c>
      <c r="C21" t="s">
        <v>53</v>
      </c>
      <c r="D21" t="s">
        <v>23</v>
      </c>
      <c r="E21" t="s">
        <v>17</v>
      </c>
      <c r="F21" t="s">
        <v>28</v>
      </c>
      <c r="G21" t="s">
        <v>51</v>
      </c>
      <c r="H21">
        <v>36</v>
      </c>
      <c r="I21">
        <v>112.65</v>
      </c>
      <c r="J21">
        <v>187.89</v>
      </c>
      <c r="K21">
        <v>12</v>
      </c>
      <c r="L21">
        <v>29</v>
      </c>
      <c r="M21">
        <v>32</v>
      </c>
      <c r="N21" t="s">
        <v>20</v>
      </c>
      <c r="O21" t="str">
        <f t="shared" si="0"/>
        <v>Reorder Now</v>
      </c>
      <c r="P21">
        <f>VLOOKUP(G21, Supplier_Info!$A$1:$D$5, 2, FALSE)</f>
        <v>92</v>
      </c>
      <c r="Q21" t="str">
        <f>VLOOKUP(G21, Supplier_Info!$A$1:$D$5, 4, FALSE)</f>
        <v>Preferred</v>
      </c>
    </row>
    <row r="22" spans="1:17" x14ac:dyDescent="0.35">
      <c r="A22">
        <v>21</v>
      </c>
      <c r="B22" t="s">
        <v>66</v>
      </c>
      <c r="C22" t="s">
        <v>55</v>
      </c>
      <c r="D22" t="s">
        <v>16</v>
      </c>
      <c r="E22" t="s">
        <v>17</v>
      </c>
      <c r="F22" t="s">
        <v>28</v>
      </c>
      <c r="G22" t="s">
        <v>51</v>
      </c>
      <c r="H22">
        <v>100</v>
      </c>
      <c r="I22">
        <v>194.76</v>
      </c>
      <c r="J22">
        <v>260.99</v>
      </c>
      <c r="K22">
        <v>4</v>
      </c>
      <c r="L22">
        <v>304</v>
      </c>
      <c r="M22">
        <v>37</v>
      </c>
      <c r="N22" t="s">
        <v>20</v>
      </c>
      <c r="O22" t="str">
        <f t="shared" si="0"/>
        <v>Ok</v>
      </c>
      <c r="P22">
        <f>VLOOKUP(G22, Supplier_Info!$A$1:$D$5, 2, FALSE)</f>
        <v>92</v>
      </c>
      <c r="Q22" t="str">
        <f>VLOOKUP(G22, Supplier_Info!$A$1:$D$5, 4, FALSE)</f>
        <v>Preferred</v>
      </c>
    </row>
    <row r="23" spans="1:17" x14ac:dyDescent="0.35">
      <c r="A23">
        <v>22</v>
      </c>
      <c r="B23" t="s">
        <v>67</v>
      </c>
      <c r="C23" t="s">
        <v>68</v>
      </c>
      <c r="D23" t="s">
        <v>16</v>
      </c>
      <c r="E23" t="s">
        <v>24</v>
      </c>
      <c r="F23" t="s">
        <v>28</v>
      </c>
      <c r="G23" t="s">
        <v>29</v>
      </c>
      <c r="H23">
        <v>294</v>
      </c>
      <c r="I23">
        <v>166.73</v>
      </c>
      <c r="J23">
        <v>223.58</v>
      </c>
      <c r="K23">
        <v>18</v>
      </c>
      <c r="L23">
        <v>161</v>
      </c>
      <c r="M23">
        <v>86</v>
      </c>
      <c r="N23" t="s">
        <v>20</v>
      </c>
      <c r="O23" t="str">
        <f t="shared" si="0"/>
        <v>Ok</v>
      </c>
      <c r="P23">
        <f>VLOOKUP(G23, Supplier_Info!$A$1:$D$5, 2, FALSE)</f>
        <v>65</v>
      </c>
      <c r="Q23" t="str">
        <f>VLOOKUP(G23, Supplier_Info!$A$1:$D$5, 4, FALSE)</f>
        <v>Standard</v>
      </c>
    </row>
    <row r="24" spans="1:17" x14ac:dyDescent="0.35">
      <c r="A24">
        <v>23</v>
      </c>
      <c r="B24" t="s">
        <v>69</v>
      </c>
      <c r="C24" t="s">
        <v>70</v>
      </c>
      <c r="D24" t="s">
        <v>23</v>
      </c>
      <c r="E24" t="s">
        <v>17</v>
      </c>
      <c r="F24" t="s">
        <v>28</v>
      </c>
      <c r="G24" t="s">
        <v>51</v>
      </c>
      <c r="H24">
        <v>158</v>
      </c>
      <c r="I24">
        <v>122.73</v>
      </c>
      <c r="J24">
        <v>167.58</v>
      </c>
      <c r="K24">
        <v>16</v>
      </c>
      <c r="L24">
        <v>161</v>
      </c>
      <c r="M24">
        <v>38</v>
      </c>
      <c r="N24" t="s">
        <v>20</v>
      </c>
      <c r="O24" t="str">
        <f t="shared" si="0"/>
        <v>Ok</v>
      </c>
      <c r="P24">
        <f>VLOOKUP(G24, Supplier_Info!$A$1:$D$5, 2, FALSE)</f>
        <v>92</v>
      </c>
      <c r="Q24" t="str">
        <f>VLOOKUP(G24, Supplier_Info!$A$1:$D$5, 4, FALSE)</f>
        <v>Preferred</v>
      </c>
    </row>
    <row r="25" spans="1:17" x14ac:dyDescent="0.35">
      <c r="A25">
        <v>24</v>
      </c>
      <c r="B25" t="s">
        <v>46</v>
      </c>
      <c r="C25" t="s">
        <v>39</v>
      </c>
      <c r="D25" t="s">
        <v>16</v>
      </c>
      <c r="E25" t="s">
        <v>24</v>
      </c>
      <c r="F25" t="s">
        <v>18</v>
      </c>
      <c r="G25" t="s">
        <v>19</v>
      </c>
      <c r="H25">
        <v>140</v>
      </c>
      <c r="I25">
        <v>78.81</v>
      </c>
      <c r="J25">
        <v>110.85</v>
      </c>
      <c r="K25">
        <v>6</v>
      </c>
      <c r="L25">
        <v>477</v>
      </c>
      <c r="M25">
        <v>109</v>
      </c>
      <c r="N25" t="s">
        <v>43</v>
      </c>
      <c r="O25" t="str">
        <f t="shared" si="0"/>
        <v>Ok</v>
      </c>
      <c r="P25">
        <f>VLOOKUP(G25, Supplier_Info!$A$1:$D$5, 2, FALSE)</f>
        <v>78</v>
      </c>
      <c r="Q25" t="str">
        <f>VLOOKUP(G25, Supplier_Info!$A$1:$D$5, 4, FALSE)</f>
        <v>Standard</v>
      </c>
    </row>
    <row r="26" spans="1:17" x14ac:dyDescent="0.35">
      <c r="A26">
        <v>25</v>
      </c>
      <c r="B26" t="s">
        <v>71</v>
      </c>
      <c r="C26" t="s">
        <v>72</v>
      </c>
      <c r="D26" t="s">
        <v>35</v>
      </c>
      <c r="E26" t="s">
        <v>27</v>
      </c>
      <c r="F26" t="s">
        <v>28</v>
      </c>
      <c r="G26" t="s">
        <v>29</v>
      </c>
      <c r="H26">
        <v>159</v>
      </c>
      <c r="I26">
        <v>147.30000000000001</v>
      </c>
      <c r="J26">
        <v>252.9</v>
      </c>
      <c r="K26">
        <v>21</v>
      </c>
      <c r="L26">
        <v>413</v>
      </c>
      <c r="M26">
        <v>22</v>
      </c>
      <c r="N26" t="s">
        <v>43</v>
      </c>
      <c r="O26" t="str">
        <f t="shared" si="0"/>
        <v>Ok</v>
      </c>
      <c r="P26">
        <f>VLOOKUP(G26, Supplier_Info!$A$1:$D$5, 2, FALSE)</f>
        <v>65</v>
      </c>
      <c r="Q26" t="str">
        <f>VLOOKUP(G26, Supplier_Info!$A$1:$D$5, 4, FALSE)</f>
        <v>Standard</v>
      </c>
    </row>
    <row r="27" spans="1:17" x14ac:dyDescent="0.35">
      <c r="A27">
        <v>26</v>
      </c>
      <c r="B27" t="s">
        <v>73</v>
      </c>
      <c r="C27" t="s">
        <v>57</v>
      </c>
      <c r="D27" t="s">
        <v>35</v>
      </c>
      <c r="E27" t="s">
        <v>27</v>
      </c>
      <c r="F27" t="s">
        <v>32</v>
      </c>
      <c r="G27" t="s">
        <v>29</v>
      </c>
      <c r="H27">
        <v>288</v>
      </c>
      <c r="I27">
        <v>162.13</v>
      </c>
      <c r="J27">
        <v>282.89</v>
      </c>
      <c r="K27">
        <v>6</v>
      </c>
      <c r="L27">
        <v>139</v>
      </c>
      <c r="M27">
        <v>92</v>
      </c>
      <c r="N27" t="s">
        <v>20</v>
      </c>
      <c r="O27" t="str">
        <f t="shared" si="0"/>
        <v>Ok</v>
      </c>
      <c r="P27">
        <f>VLOOKUP(G27, Supplier_Info!$A$1:$D$5, 2, FALSE)</f>
        <v>65</v>
      </c>
      <c r="Q27" t="str">
        <f>VLOOKUP(G27, Supplier_Info!$A$1:$D$5, 4, FALSE)</f>
        <v>Standard</v>
      </c>
    </row>
    <row r="28" spans="1:17" x14ac:dyDescent="0.35">
      <c r="A28">
        <v>27</v>
      </c>
      <c r="B28" t="s">
        <v>74</v>
      </c>
      <c r="C28" t="s">
        <v>55</v>
      </c>
      <c r="D28" t="s">
        <v>16</v>
      </c>
      <c r="E28" t="s">
        <v>24</v>
      </c>
      <c r="F28" t="s">
        <v>28</v>
      </c>
      <c r="G28" t="s">
        <v>29</v>
      </c>
      <c r="H28">
        <v>31</v>
      </c>
      <c r="I28">
        <v>194.76</v>
      </c>
      <c r="J28">
        <v>300.76</v>
      </c>
      <c r="K28">
        <v>4</v>
      </c>
      <c r="L28">
        <v>324</v>
      </c>
      <c r="M28">
        <v>128</v>
      </c>
      <c r="N28" t="s">
        <v>20</v>
      </c>
      <c r="O28" t="str">
        <f t="shared" si="0"/>
        <v>Ok</v>
      </c>
      <c r="P28">
        <f>VLOOKUP(G28, Supplier_Info!$A$1:$D$5, 2, FALSE)</f>
        <v>65</v>
      </c>
      <c r="Q28" t="str">
        <f>VLOOKUP(G28, Supplier_Info!$A$1:$D$5, 4, FALSE)</f>
        <v>Standard</v>
      </c>
    </row>
    <row r="29" spans="1:17" x14ac:dyDescent="0.35">
      <c r="A29">
        <v>28</v>
      </c>
      <c r="B29" t="s">
        <v>75</v>
      </c>
      <c r="C29" t="s">
        <v>76</v>
      </c>
      <c r="D29" t="s">
        <v>35</v>
      </c>
      <c r="E29" t="s">
        <v>17</v>
      </c>
      <c r="F29" t="s">
        <v>28</v>
      </c>
      <c r="G29" t="s">
        <v>51</v>
      </c>
      <c r="H29">
        <v>287</v>
      </c>
      <c r="I29">
        <v>71.349999999999994</v>
      </c>
      <c r="J29">
        <v>119.2</v>
      </c>
      <c r="K29">
        <v>15</v>
      </c>
      <c r="L29">
        <v>287</v>
      </c>
      <c r="M29">
        <v>22</v>
      </c>
      <c r="N29" t="s">
        <v>20</v>
      </c>
      <c r="O29" t="str">
        <f t="shared" si="0"/>
        <v>Ok</v>
      </c>
      <c r="P29">
        <f>VLOOKUP(G29, Supplier_Info!$A$1:$D$5, 2, FALSE)</f>
        <v>92</v>
      </c>
      <c r="Q29" t="str">
        <f>VLOOKUP(G29, Supplier_Info!$A$1:$D$5, 4, FALSE)</f>
        <v>Preferred</v>
      </c>
    </row>
    <row r="30" spans="1:17" x14ac:dyDescent="0.35">
      <c r="A30">
        <v>29</v>
      </c>
      <c r="B30" t="s">
        <v>77</v>
      </c>
      <c r="C30" t="s">
        <v>22</v>
      </c>
      <c r="D30" t="s">
        <v>23</v>
      </c>
      <c r="E30" t="s">
        <v>27</v>
      </c>
      <c r="F30" t="s">
        <v>18</v>
      </c>
      <c r="G30" t="s">
        <v>19</v>
      </c>
      <c r="H30">
        <v>80</v>
      </c>
      <c r="I30">
        <v>170.26</v>
      </c>
      <c r="J30">
        <v>270.93</v>
      </c>
      <c r="K30">
        <v>15</v>
      </c>
      <c r="L30">
        <v>65</v>
      </c>
      <c r="M30">
        <v>30</v>
      </c>
      <c r="N30" t="s">
        <v>20</v>
      </c>
      <c r="O30" t="str">
        <f t="shared" si="0"/>
        <v>Ok</v>
      </c>
      <c r="P30">
        <f>VLOOKUP(G30, Supplier_Info!$A$1:$D$5, 2, FALSE)</f>
        <v>78</v>
      </c>
      <c r="Q30" t="str">
        <f>VLOOKUP(G30, Supplier_Info!$A$1:$D$5, 4, FALSE)</f>
        <v>Standard</v>
      </c>
    </row>
    <row r="31" spans="1:17" x14ac:dyDescent="0.35">
      <c r="A31">
        <v>30</v>
      </c>
      <c r="B31" t="s">
        <v>78</v>
      </c>
      <c r="C31" t="s">
        <v>26</v>
      </c>
      <c r="D31" t="s">
        <v>16</v>
      </c>
      <c r="E31" t="s">
        <v>27</v>
      </c>
      <c r="F31" t="s">
        <v>28</v>
      </c>
      <c r="G31" t="s">
        <v>19</v>
      </c>
      <c r="H31">
        <v>57</v>
      </c>
      <c r="I31">
        <v>173.03</v>
      </c>
      <c r="J31">
        <v>246.53</v>
      </c>
      <c r="K31">
        <v>13</v>
      </c>
      <c r="L31">
        <v>399</v>
      </c>
      <c r="M31">
        <v>124</v>
      </c>
      <c r="N31" t="s">
        <v>43</v>
      </c>
      <c r="O31" t="str">
        <f t="shared" si="0"/>
        <v>Ok</v>
      </c>
      <c r="P31">
        <f>VLOOKUP(G31, Supplier_Info!$A$1:$D$5, 2, FALSE)</f>
        <v>78</v>
      </c>
      <c r="Q31" t="str">
        <f>VLOOKUP(G31, Supplier_Info!$A$1:$D$5, 4, FALSE)</f>
        <v>Standard</v>
      </c>
    </row>
    <row r="32" spans="1:17" x14ac:dyDescent="0.35">
      <c r="A32">
        <v>31</v>
      </c>
      <c r="B32" t="s">
        <v>79</v>
      </c>
      <c r="C32" t="s">
        <v>80</v>
      </c>
      <c r="D32" t="s">
        <v>23</v>
      </c>
      <c r="E32" t="s">
        <v>17</v>
      </c>
      <c r="F32" t="s">
        <v>28</v>
      </c>
      <c r="G32" t="s">
        <v>40</v>
      </c>
      <c r="H32">
        <v>175</v>
      </c>
      <c r="I32">
        <v>162.38999999999999</v>
      </c>
      <c r="J32">
        <v>213.12</v>
      </c>
      <c r="K32">
        <v>15</v>
      </c>
      <c r="L32">
        <v>410</v>
      </c>
      <c r="M32">
        <v>83</v>
      </c>
      <c r="N32" t="s">
        <v>20</v>
      </c>
      <c r="O32" t="str">
        <f t="shared" si="0"/>
        <v>Ok</v>
      </c>
      <c r="P32">
        <f>VLOOKUP(G32, Supplier_Info!$A$1:$D$5, 2, FALSE)</f>
        <v>88</v>
      </c>
      <c r="Q32" t="str">
        <f>VLOOKUP(G32, Supplier_Info!$A$1:$D$5, 4, FALSE)</f>
        <v>Preferred</v>
      </c>
    </row>
    <row r="33" spans="1:17" x14ac:dyDescent="0.35">
      <c r="A33">
        <v>32</v>
      </c>
      <c r="B33" t="s">
        <v>81</v>
      </c>
      <c r="C33" t="s">
        <v>59</v>
      </c>
      <c r="D33" t="s">
        <v>23</v>
      </c>
      <c r="E33" t="s">
        <v>27</v>
      </c>
      <c r="F33" t="s">
        <v>28</v>
      </c>
      <c r="G33" t="s">
        <v>51</v>
      </c>
      <c r="H33">
        <v>118</v>
      </c>
      <c r="I33">
        <v>162.84</v>
      </c>
      <c r="J33">
        <v>281.60000000000002</v>
      </c>
      <c r="K33">
        <v>8</v>
      </c>
      <c r="L33">
        <v>418</v>
      </c>
      <c r="M33">
        <v>137</v>
      </c>
      <c r="N33" t="s">
        <v>20</v>
      </c>
      <c r="O33" t="str">
        <f t="shared" si="0"/>
        <v>Ok</v>
      </c>
      <c r="P33">
        <f>VLOOKUP(G33, Supplier_Info!$A$1:$D$5, 2, FALSE)</f>
        <v>92</v>
      </c>
      <c r="Q33" t="str">
        <f>VLOOKUP(G33, Supplier_Info!$A$1:$D$5, 4, FALSE)</f>
        <v>Preferred</v>
      </c>
    </row>
    <row r="34" spans="1:17" x14ac:dyDescent="0.35">
      <c r="A34">
        <v>33</v>
      </c>
      <c r="B34" t="s">
        <v>82</v>
      </c>
      <c r="C34" t="s">
        <v>26</v>
      </c>
      <c r="D34" t="s">
        <v>16</v>
      </c>
      <c r="E34" t="s">
        <v>17</v>
      </c>
      <c r="F34" t="s">
        <v>18</v>
      </c>
      <c r="G34" t="s">
        <v>29</v>
      </c>
      <c r="H34">
        <v>173</v>
      </c>
      <c r="I34">
        <v>173.03</v>
      </c>
      <c r="J34">
        <v>241.65</v>
      </c>
      <c r="K34">
        <v>10</v>
      </c>
      <c r="L34">
        <v>442</v>
      </c>
      <c r="M34">
        <v>37</v>
      </c>
      <c r="N34" t="s">
        <v>20</v>
      </c>
      <c r="O34" t="str">
        <f t="shared" si="0"/>
        <v>Ok</v>
      </c>
      <c r="P34">
        <f>VLOOKUP(G34, Supplier_Info!$A$1:$D$5, 2, FALSE)</f>
        <v>65</v>
      </c>
      <c r="Q34" t="str">
        <f>VLOOKUP(G34, Supplier_Info!$A$1:$D$5, 4, FALSE)</f>
        <v>Standard</v>
      </c>
    </row>
    <row r="35" spans="1:17" x14ac:dyDescent="0.35">
      <c r="A35">
        <v>34</v>
      </c>
      <c r="B35" t="s">
        <v>83</v>
      </c>
      <c r="C35" t="s">
        <v>42</v>
      </c>
      <c r="D35" t="s">
        <v>23</v>
      </c>
      <c r="E35" t="s">
        <v>24</v>
      </c>
      <c r="F35" t="s">
        <v>18</v>
      </c>
      <c r="G35" t="s">
        <v>29</v>
      </c>
      <c r="H35">
        <v>138</v>
      </c>
      <c r="I35">
        <v>119.91</v>
      </c>
      <c r="J35">
        <v>162.80000000000001</v>
      </c>
      <c r="K35">
        <v>7</v>
      </c>
      <c r="L35">
        <v>297</v>
      </c>
      <c r="M35">
        <v>87</v>
      </c>
      <c r="N35" t="s">
        <v>20</v>
      </c>
      <c r="O35" t="str">
        <f t="shared" si="0"/>
        <v>Ok</v>
      </c>
      <c r="P35">
        <f>VLOOKUP(G35, Supplier_Info!$A$1:$D$5, 2, FALSE)</f>
        <v>65</v>
      </c>
      <c r="Q35" t="str">
        <f>VLOOKUP(G35, Supplier_Info!$A$1:$D$5, 4, FALSE)</f>
        <v>Standard</v>
      </c>
    </row>
    <row r="36" spans="1:17" x14ac:dyDescent="0.35">
      <c r="A36">
        <v>35</v>
      </c>
      <c r="B36" t="s">
        <v>84</v>
      </c>
      <c r="C36" t="s">
        <v>80</v>
      </c>
      <c r="D36" t="s">
        <v>23</v>
      </c>
      <c r="E36" t="s">
        <v>24</v>
      </c>
      <c r="F36" t="s">
        <v>28</v>
      </c>
      <c r="G36" t="s">
        <v>19</v>
      </c>
      <c r="H36">
        <v>266</v>
      </c>
      <c r="I36">
        <v>162.38999999999999</v>
      </c>
      <c r="J36">
        <v>260.33</v>
      </c>
      <c r="K36">
        <v>5</v>
      </c>
      <c r="L36">
        <v>197</v>
      </c>
      <c r="M36">
        <v>68</v>
      </c>
      <c r="N36" t="s">
        <v>20</v>
      </c>
      <c r="O36" t="str">
        <f t="shared" si="0"/>
        <v>Ok</v>
      </c>
      <c r="P36">
        <f>VLOOKUP(G36, Supplier_Info!$A$1:$D$5, 2, FALSE)</f>
        <v>78</v>
      </c>
      <c r="Q36" t="str">
        <f>VLOOKUP(G36, Supplier_Info!$A$1:$D$5, 4, FALSE)</f>
        <v>Standard</v>
      </c>
    </row>
    <row r="37" spans="1:17" x14ac:dyDescent="0.35">
      <c r="A37">
        <v>36</v>
      </c>
      <c r="B37" t="s">
        <v>71</v>
      </c>
      <c r="C37" t="s">
        <v>22</v>
      </c>
      <c r="D37" t="s">
        <v>23</v>
      </c>
      <c r="E37" t="s">
        <v>17</v>
      </c>
      <c r="F37" t="s">
        <v>18</v>
      </c>
      <c r="G37" t="s">
        <v>29</v>
      </c>
      <c r="H37">
        <v>174</v>
      </c>
      <c r="I37">
        <v>170.26</v>
      </c>
      <c r="J37">
        <v>258.05</v>
      </c>
      <c r="K37">
        <v>21</v>
      </c>
      <c r="L37">
        <v>160</v>
      </c>
      <c r="M37">
        <v>51</v>
      </c>
      <c r="N37" t="s">
        <v>20</v>
      </c>
      <c r="O37" t="str">
        <f t="shared" si="0"/>
        <v>Ok</v>
      </c>
      <c r="P37">
        <f>VLOOKUP(G37, Supplier_Info!$A$1:$D$5, 2, FALSE)</f>
        <v>65</v>
      </c>
      <c r="Q37" t="str">
        <f>VLOOKUP(G37, Supplier_Info!$A$1:$D$5, 4, FALSE)</f>
        <v>Standard</v>
      </c>
    </row>
    <row r="38" spans="1:17" x14ac:dyDescent="0.35">
      <c r="A38">
        <v>37</v>
      </c>
      <c r="B38" t="s">
        <v>14</v>
      </c>
      <c r="C38" t="s">
        <v>70</v>
      </c>
      <c r="D38" t="s">
        <v>23</v>
      </c>
      <c r="E38" t="s">
        <v>27</v>
      </c>
      <c r="F38" t="s">
        <v>32</v>
      </c>
      <c r="G38" t="s">
        <v>29</v>
      </c>
      <c r="H38">
        <v>288</v>
      </c>
      <c r="I38">
        <v>122.73</v>
      </c>
      <c r="J38">
        <v>202.33</v>
      </c>
      <c r="K38">
        <v>6</v>
      </c>
      <c r="L38">
        <v>98</v>
      </c>
      <c r="M38">
        <v>127</v>
      </c>
      <c r="N38" t="s">
        <v>20</v>
      </c>
      <c r="O38" t="str">
        <f t="shared" si="0"/>
        <v>Reorder Now</v>
      </c>
      <c r="P38">
        <f>VLOOKUP(G38, Supplier_Info!$A$1:$D$5, 2, FALSE)</f>
        <v>65</v>
      </c>
      <c r="Q38" t="str">
        <f>VLOOKUP(G38, Supplier_Info!$A$1:$D$5, 4, FALSE)</f>
        <v>Standard</v>
      </c>
    </row>
    <row r="39" spans="1:17" x14ac:dyDescent="0.35">
      <c r="A39">
        <v>38</v>
      </c>
      <c r="B39" t="s">
        <v>85</v>
      </c>
      <c r="C39" t="s">
        <v>70</v>
      </c>
      <c r="D39" t="s">
        <v>23</v>
      </c>
      <c r="E39" t="s">
        <v>17</v>
      </c>
      <c r="F39" t="s">
        <v>32</v>
      </c>
      <c r="G39" t="s">
        <v>29</v>
      </c>
      <c r="H39">
        <v>5</v>
      </c>
      <c r="I39">
        <v>122.73</v>
      </c>
      <c r="J39">
        <v>193.17</v>
      </c>
      <c r="K39">
        <v>11</v>
      </c>
      <c r="L39">
        <v>146</v>
      </c>
      <c r="M39">
        <v>73</v>
      </c>
      <c r="N39" t="s">
        <v>43</v>
      </c>
      <c r="O39" t="str">
        <f t="shared" si="0"/>
        <v>Ok</v>
      </c>
      <c r="P39">
        <f>VLOOKUP(G39, Supplier_Info!$A$1:$D$5, 2, FALSE)</f>
        <v>65</v>
      </c>
      <c r="Q39" t="str">
        <f>VLOOKUP(G39, Supplier_Info!$A$1:$D$5, 4, FALSE)</f>
        <v>Standard</v>
      </c>
    </row>
    <row r="40" spans="1:17" x14ac:dyDescent="0.35">
      <c r="A40">
        <v>39</v>
      </c>
      <c r="B40" t="s">
        <v>86</v>
      </c>
      <c r="C40" t="s">
        <v>72</v>
      </c>
      <c r="D40" t="s">
        <v>35</v>
      </c>
      <c r="E40" t="s">
        <v>17</v>
      </c>
      <c r="F40" t="s">
        <v>32</v>
      </c>
      <c r="G40" t="s">
        <v>29</v>
      </c>
      <c r="H40">
        <v>114</v>
      </c>
      <c r="I40">
        <v>147.30000000000001</v>
      </c>
      <c r="J40">
        <v>224.03</v>
      </c>
      <c r="K40">
        <v>18</v>
      </c>
      <c r="L40">
        <v>242</v>
      </c>
      <c r="M40">
        <v>63</v>
      </c>
      <c r="N40" t="s">
        <v>20</v>
      </c>
      <c r="O40" t="str">
        <f t="shared" si="0"/>
        <v>Ok</v>
      </c>
      <c r="P40">
        <f>VLOOKUP(G40, Supplier_Info!$A$1:$D$5, 2, FALSE)</f>
        <v>65</v>
      </c>
      <c r="Q40" t="str">
        <f>VLOOKUP(G40, Supplier_Info!$A$1:$D$5, 4, FALSE)</f>
        <v>Standard</v>
      </c>
    </row>
    <row r="41" spans="1:17" x14ac:dyDescent="0.35">
      <c r="A41">
        <v>40</v>
      </c>
      <c r="B41" t="s">
        <v>87</v>
      </c>
      <c r="C41" t="s">
        <v>88</v>
      </c>
      <c r="D41" t="s">
        <v>89</v>
      </c>
      <c r="E41" t="s">
        <v>27</v>
      </c>
      <c r="F41" t="s">
        <v>18</v>
      </c>
      <c r="G41" t="s">
        <v>51</v>
      </c>
      <c r="H41">
        <v>125</v>
      </c>
      <c r="I41">
        <v>6.27</v>
      </c>
      <c r="J41">
        <v>10.72</v>
      </c>
      <c r="K41">
        <v>11</v>
      </c>
      <c r="L41">
        <v>115</v>
      </c>
      <c r="M41">
        <v>70</v>
      </c>
      <c r="N41" t="s">
        <v>20</v>
      </c>
      <c r="O41" t="str">
        <f t="shared" si="0"/>
        <v>Ok</v>
      </c>
      <c r="P41">
        <f>VLOOKUP(G41, Supplier_Info!$A$1:$D$5, 2, FALSE)</f>
        <v>92</v>
      </c>
      <c r="Q41" t="str">
        <f>VLOOKUP(G41, Supplier_Info!$A$1:$D$5, 4, FALSE)</f>
        <v>Preferred</v>
      </c>
    </row>
    <row r="42" spans="1:17" x14ac:dyDescent="0.35">
      <c r="A42">
        <v>41</v>
      </c>
      <c r="B42" t="s">
        <v>90</v>
      </c>
      <c r="C42" t="s">
        <v>72</v>
      </c>
      <c r="D42" t="s">
        <v>35</v>
      </c>
      <c r="E42" t="s">
        <v>27</v>
      </c>
      <c r="F42" t="s">
        <v>32</v>
      </c>
      <c r="G42" t="s">
        <v>51</v>
      </c>
      <c r="H42">
        <v>299</v>
      </c>
      <c r="I42">
        <v>147.30000000000001</v>
      </c>
      <c r="J42">
        <v>222.01</v>
      </c>
      <c r="K42">
        <v>8</v>
      </c>
      <c r="L42">
        <v>367</v>
      </c>
      <c r="M42">
        <v>118</v>
      </c>
      <c r="N42" t="s">
        <v>20</v>
      </c>
      <c r="O42" t="str">
        <f t="shared" si="0"/>
        <v>Ok</v>
      </c>
      <c r="P42">
        <f>VLOOKUP(G42, Supplier_Info!$A$1:$D$5, 2, FALSE)</f>
        <v>92</v>
      </c>
      <c r="Q42" t="str">
        <f>VLOOKUP(G42, Supplier_Info!$A$1:$D$5, 4, FALSE)</f>
        <v>Preferred</v>
      </c>
    </row>
    <row r="43" spans="1:17" x14ac:dyDescent="0.35">
      <c r="A43">
        <v>42</v>
      </c>
      <c r="B43" t="s">
        <v>91</v>
      </c>
      <c r="C43" t="s">
        <v>63</v>
      </c>
      <c r="D43" t="s">
        <v>50</v>
      </c>
      <c r="E43" t="s">
        <v>17</v>
      </c>
      <c r="F43" t="s">
        <v>28</v>
      </c>
      <c r="G43" t="s">
        <v>51</v>
      </c>
      <c r="H43">
        <v>59</v>
      </c>
      <c r="I43">
        <v>13.94</v>
      </c>
      <c r="J43">
        <v>24.12</v>
      </c>
      <c r="K43">
        <v>15</v>
      </c>
      <c r="L43">
        <v>112</v>
      </c>
      <c r="M43">
        <v>65</v>
      </c>
      <c r="N43" t="s">
        <v>20</v>
      </c>
      <c r="O43" t="str">
        <f t="shared" si="0"/>
        <v>Ok</v>
      </c>
      <c r="P43">
        <f>VLOOKUP(G43, Supplier_Info!$A$1:$D$5, 2, FALSE)</f>
        <v>92</v>
      </c>
      <c r="Q43" t="str">
        <f>VLOOKUP(G43, Supplier_Info!$A$1:$D$5, 4, FALSE)</f>
        <v>Preferred</v>
      </c>
    </row>
    <row r="44" spans="1:17" x14ac:dyDescent="0.35">
      <c r="A44">
        <v>43</v>
      </c>
      <c r="B44" t="s">
        <v>92</v>
      </c>
      <c r="C44" t="s">
        <v>72</v>
      </c>
      <c r="D44" t="s">
        <v>35</v>
      </c>
      <c r="E44" t="s">
        <v>17</v>
      </c>
      <c r="F44" t="s">
        <v>32</v>
      </c>
      <c r="G44" t="s">
        <v>40</v>
      </c>
      <c r="H44">
        <v>242</v>
      </c>
      <c r="I44">
        <v>147.30000000000001</v>
      </c>
      <c r="J44">
        <v>201.31</v>
      </c>
      <c r="K44">
        <v>18</v>
      </c>
      <c r="L44">
        <v>286</v>
      </c>
      <c r="M44">
        <v>101</v>
      </c>
      <c r="N44" t="s">
        <v>20</v>
      </c>
      <c r="O44" t="str">
        <f t="shared" si="0"/>
        <v>Ok</v>
      </c>
      <c r="P44">
        <f>VLOOKUP(G44, Supplier_Info!$A$1:$D$5, 2, FALSE)</f>
        <v>88</v>
      </c>
      <c r="Q44" t="str">
        <f>VLOOKUP(G44, Supplier_Info!$A$1:$D$5, 4, FALSE)</f>
        <v>Preferred</v>
      </c>
    </row>
    <row r="45" spans="1:17" x14ac:dyDescent="0.35">
      <c r="A45">
        <v>44</v>
      </c>
      <c r="B45" t="s">
        <v>93</v>
      </c>
      <c r="C45" t="s">
        <v>39</v>
      </c>
      <c r="D45" t="s">
        <v>16</v>
      </c>
      <c r="E45" t="s">
        <v>24</v>
      </c>
      <c r="F45" t="s">
        <v>32</v>
      </c>
      <c r="G45" t="s">
        <v>40</v>
      </c>
      <c r="H45">
        <v>86</v>
      </c>
      <c r="I45">
        <v>78.81</v>
      </c>
      <c r="J45">
        <v>120.02</v>
      </c>
      <c r="K45">
        <v>17</v>
      </c>
      <c r="L45">
        <v>230</v>
      </c>
      <c r="M45">
        <v>86</v>
      </c>
      <c r="N45" t="s">
        <v>43</v>
      </c>
      <c r="O45" t="str">
        <f t="shared" si="0"/>
        <v>Ok</v>
      </c>
      <c r="P45">
        <f>VLOOKUP(G45, Supplier_Info!$A$1:$D$5, 2, FALSE)</f>
        <v>88</v>
      </c>
      <c r="Q45" t="str">
        <f>VLOOKUP(G45, Supplier_Info!$A$1:$D$5, 4, FALSE)</f>
        <v>Preferred</v>
      </c>
    </row>
    <row r="46" spans="1:17" x14ac:dyDescent="0.35">
      <c r="A46">
        <v>45</v>
      </c>
      <c r="B46" t="s">
        <v>66</v>
      </c>
      <c r="C46" t="s">
        <v>37</v>
      </c>
      <c r="D46" t="s">
        <v>35</v>
      </c>
      <c r="E46" t="s">
        <v>24</v>
      </c>
      <c r="F46" t="s">
        <v>32</v>
      </c>
      <c r="G46" t="s">
        <v>51</v>
      </c>
      <c r="H46">
        <v>230</v>
      </c>
      <c r="I46">
        <v>125.61</v>
      </c>
      <c r="J46">
        <v>178.32</v>
      </c>
      <c r="K46">
        <v>4</v>
      </c>
      <c r="L46">
        <v>365</v>
      </c>
      <c r="M46">
        <v>93</v>
      </c>
      <c r="N46" t="s">
        <v>20</v>
      </c>
      <c r="O46" t="str">
        <f t="shared" si="0"/>
        <v>Ok</v>
      </c>
      <c r="P46">
        <f>VLOOKUP(G46, Supplier_Info!$A$1:$D$5, 2, FALSE)</f>
        <v>92</v>
      </c>
      <c r="Q46" t="str">
        <f>VLOOKUP(G46, Supplier_Info!$A$1:$D$5, 4, FALSE)</f>
        <v>Preferred</v>
      </c>
    </row>
    <row r="47" spans="1:17" x14ac:dyDescent="0.35">
      <c r="A47">
        <v>46</v>
      </c>
      <c r="B47" t="s">
        <v>94</v>
      </c>
      <c r="C47" t="s">
        <v>45</v>
      </c>
      <c r="D47" t="s">
        <v>35</v>
      </c>
      <c r="E47" t="s">
        <v>24</v>
      </c>
      <c r="F47" t="s">
        <v>32</v>
      </c>
      <c r="G47" t="s">
        <v>40</v>
      </c>
      <c r="H47">
        <v>201</v>
      </c>
      <c r="I47">
        <v>141.13999999999999</v>
      </c>
      <c r="J47">
        <v>194.13</v>
      </c>
      <c r="K47">
        <v>6</v>
      </c>
      <c r="L47">
        <v>361</v>
      </c>
      <c r="M47">
        <v>74</v>
      </c>
      <c r="N47" t="s">
        <v>20</v>
      </c>
      <c r="O47" t="str">
        <f t="shared" si="0"/>
        <v>Ok</v>
      </c>
      <c r="P47">
        <f>VLOOKUP(G47, Supplier_Info!$A$1:$D$5, 2, FALSE)</f>
        <v>88</v>
      </c>
      <c r="Q47" t="str">
        <f>VLOOKUP(G47, Supplier_Info!$A$1:$D$5, 4, FALSE)</f>
        <v>Preferred</v>
      </c>
    </row>
    <row r="48" spans="1:17" x14ac:dyDescent="0.35">
      <c r="A48">
        <v>47</v>
      </c>
      <c r="B48" t="s">
        <v>14</v>
      </c>
      <c r="C48" t="s">
        <v>80</v>
      </c>
      <c r="D48" t="s">
        <v>23</v>
      </c>
      <c r="E48" t="s">
        <v>24</v>
      </c>
      <c r="F48" t="s">
        <v>18</v>
      </c>
      <c r="G48" t="s">
        <v>40</v>
      </c>
      <c r="H48">
        <v>220</v>
      </c>
      <c r="I48">
        <v>162.38999999999999</v>
      </c>
      <c r="J48">
        <v>216.16</v>
      </c>
      <c r="K48">
        <v>14</v>
      </c>
      <c r="L48">
        <v>463</v>
      </c>
      <c r="M48">
        <v>25</v>
      </c>
      <c r="N48" t="s">
        <v>20</v>
      </c>
      <c r="O48" t="str">
        <f t="shared" si="0"/>
        <v>Ok</v>
      </c>
      <c r="P48">
        <f>VLOOKUP(G48, Supplier_Info!$A$1:$D$5, 2, FALSE)</f>
        <v>88</v>
      </c>
      <c r="Q48" t="str">
        <f>VLOOKUP(G48, Supplier_Info!$A$1:$D$5, 4, FALSE)</f>
        <v>Preferred</v>
      </c>
    </row>
    <row r="49" spans="1:17" x14ac:dyDescent="0.35">
      <c r="A49">
        <v>48</v>
      </c>
      <c r="B49" t="s">
        <v>64</v>
      </c>
      <c r="C49" t="s">
        <v>80</v>
      </c>
      <c r="D49" t="s">
        <v>23</v>
      </c>
      <c r="E49" t="s">
        <v>24</v>
      </c>
      <c r="F49" t="s">
        <v>18</v>
      </c>
      <c r="G49" t="s">
        <v>51</v>
      </c>
      <c r="H49">
        <v>284</v>
      </c>
      <c r="I49">
        <v>162.38999999999999</v>
      </c>
      <c r="J49">
        <v>254.81</v>
      </c>
      <c r="K49">
        <v>21</v>
      </c>
      <c r="L49">
        <v>459</v>
      </c>
      <c r="M49">
        <v>76</v>
      </c>
      <c r="N49" t="s">
        <v>20</v>
      </c>
      <c r="O49" t="str">
        <f t="shared" si="0"/>
        <v>Ok</v>
      </c>
      <c r="P49">
        <f>VLOOKUP(G49, Supplier_Info!$A$1:$D$5, 2, FALSE)</f>
        <v>92</v>
      </c>
      <c r="Q49" t="str">
        <f>VLOOKUP(G49, Supplier_Info!$A$1:$D$5, 4, FALSE)</f>
        <v>Preferred</v>
      </c>
    </row>
    <row r="50" spans="1:17" x14ac:dyDescent="0.35">
      <c r="A50">
        <v>49</v>
      </c>
      <c r="B50" t="s">
        <v>95</v>
      </c>
      <c r="C50" t="s">
        <v>70</v>
      </c>
      <c r="D50" t="s">
        <v>23</v>
      </c>
      <c r="E50" t="s">
        <v>17</v>
      </c>
      <c r="F50" t="s">
        <v>28</v>
      </c>
      <c r="G50" t="s">
        <v>40</v>
      </c>
      <c r="H50">
        <v>212</v>
      </c>
      <c r="I50">
        <v>122.73</v>
      </c>
      <c r="J50">
        <v>180.18</v>
      </c>
      <c r="K50">
        <v>7</v>
      </c>
      <c r="L50">
        <v>430</v>
      </c>
      <c r="M50">
        <v>139</v>
      </c>
      <c r="N50" t="s">
        <v>43</v>
      </c>
      <c r="O50" t="str">
        <f t="shared" si="0"/>
        <v>Ok</v>
      </c>
      <c r="P50">
        <f>VLOOKUP(G50, Supplier_Info!$A$1:$D$5, 2, FALSE)</f>
        <v>88</v>
      </c>
      <c r="Q50" t="str">
        <f>VLOOKUP(G50, Supplier_Info!$A$1:$D$5, 4, FALSE)</f>
        <v>Preferred</v>
      </c>
    </row>
    <row r="51" spans="1:17" x14ac:dyDescent="0.35">
      <c r="A51">
        <v>50</v>
      </c>
      <c r="B51" t="s">
        <v>96</v>
      </c>
      <c r="C51" t="s">
        <v>53</v>
      </c>
      <c r="D51" t="s">
        <v>23</v>
      </c>
      <c r="E51" t="s">
        <v>27</v>
      </c>
      <c r="F51" t="s">
        <v>28</v>
      </c>
      <c r="G51" t="s">
        <v>29</v>
      </c>
      <c r="H51">
        <v>18</v>
      </c>
      <c r="I51">
        <v>112.65</v>
      </c>
      <c r="J51">
        <v>178.23</v>
      </c>
      <c r="K51">
        <v>4</v>
      </c>
      <c r="L51">
        <v>329</v>
      </c>
      <c r="M51">
        <v>129</v>
      </c>
      <c r="N51" t="s">
        <v>43</v>
      </c>
      <c r="O51" t="str">
        <f t="shared" si="0"/>
        <v>Ok</v>
      </c>
      <c r="P51">
        <f>VLOOKUP(G51, Supplier_Info!$A$1:$D$5, 2, FALSE)</f>
        <v>65</v>
      </c>
      <c r="Q51" t="str">
        <f>VLOOKUP(G51, Supplier_Info!$A$1:$D$5, 4, FALSE)</f>
        <v>Standard</v>
      </c>
    </row>
    <row r="52" spans="1:17" x14ac:dyDescent="0.35">
      <c r="A52">
        <v>51</v>
      </c>
      <c r="B52" t="s">
        <v>82</v>
      </c>
      <c r="C52" t="s">
        <v>70</v>
      </c>
      <c r="D52" t="s">
        <v>23</v>
      </c>
      <c r="E52" t="s">
        <v>24</v>
      </c>
      <c r="F52" t="s">
        <v>18</v>
      </c>
      <c r="G52" t="s">
        <v>51</v>
      </c>
      <c r="H52">
        <v>237</v>
      </c>
      <c r="I52">
        <v>122.73</v>
      </c>
      <c r="J52">
        <v>179.64</v>
      </c>
      <c r="K52">
        <v>12</v>
      </c>
      <c r="L52">
        <v>172</v>
      </c>
      <c r="M52">
        <v>117</v>
      </c>
      <c r="N52" t="s">
        <v>20</v>
      </c>
      <c r="O52" t="str">
        <f t="shared" si="0"/>
        <v>Ok</v>
      </c>
      <c r="P52">
        <f>VLOOKUP(G52, Supplier_Info!$A$1:$D$5, 2, FALSE)</f>
        <v>92</v>
      </c>
      <c r="Q52" t="str">
        <f>VLOOKUP(G52, Supplier_Info!$A$1:$D$5, 4, FALSE)</f>
        <v>Preferred</v>
      </c>
    </row>
    <row r="53" spans="1:17" x14ac:dyDescent="0.35">
      <c r="A53">
        <v>52</v>
      </c>
      <c r="B53" t="s">
        <v>97</v>
      </c>
      <c r="C53" t="s">
        <v>98</v>
      </c>
      <c r="D53" t="s">
        <v>35</v>
      </c>
      <c r="E53" t="s">
        <v>17</v>
      </c>
      <c r="F53" t="s">
        <v>28</v>
      </c>
      <c r="G53" t="s">
        <v>51</v>
      </c>
      <c r="H53">
        <v>281</v>
      </c>
      <c r="I53">
        <v>109.56</v>
      </c>
      <c r="J53">
        <v>143.49</v>
      </c>
      <c r="K53">
        <v>3</v>
      </c>
      <c r="L53">
        <v>487</v>
      </c>
      <c r="M53">
        <v>109</v>
      </c>
      <c r="N53" t="s">
        <v>20</v>
      </c>
      <c r="O53" t="str">
        <f t="shared" si="0"/>
        <v>Ok</v>
      </c>
      <c r="P53">
        <f>VLOOKUP(G53, Supplier_Info!$A$1:$D$5, 2, FALSE)</f>
        <v>92</v>
      </c>
      <c r="Q53" t="str">
        <f>VLOOKUP(G53, Supplier_Info!$A$1:$D$5, 4, FALSE)</f>
        <v>Preferred</v>
      </c>
    </row>
    <row r="54" spans="1:17" x14ac:dyDescent="0.35">
      <c r="A54">
        <v>53</v>
      </c>
      <c r="B54" t="s">
        <v>99</v>
      </c>
      <c r="C54" t="s">
        <v>15</v>
      </c>
      <c r="D54" t="s">
        <v>16</v>
      </c>
      <c r="E54" t="s">
        <v>27</v>
      </c>
      <c r="F54" t="s">
        <v>32</v>
      </c>
      <c r="G54" t="s">
        <v>19</v>
      </c>
      <c r="H54">
        <v>15</v>
      </c>
      <c r="I54">
        <v>191.66</v>
      </c>
      <c r="J54">
        <v>268.26</v>
      </c>
      <c r="K54">
        <v>21</v>
      </c>
      <c r="L54">
        <v>78</v>
      </c>
      <c r="M54">
        <v>81</v>
      </c>
      <c r="N54" t="s">
        <v>20</v>
      </c>
      <c r="O54" t="str">
        <f t="shared" si="0"/>
        <v>Reorder Now</v>
      </c>
      <c r="P54">
        <f>VLOOKUP(G54, Supplier_Info!$A$1:$D$5, 2, FALSE)</f>
        <v>78</v>
      </c>
      <c r="Q54" t="str">
        <f>VLOOKUP(G54, Supplier_Info!$A$1:$D$5, 4, FALSE)</f>
        <v>Standard</v>
      </c>
    </row>
    <row r="55" spans="1:17" x14ac:dyDescent="0.35">
      <c r="A55">
        <v>54</v>
      </c>
      <c r="B55" t="s">
        <v>100</v>
      </c>
      <c r="C55" t="s">
        <v>72</v>
      </c>
      <c r="D55" t="s">
        <v>35</v>
      </c>
      <c r="E55" t="s">
        <v>27</v>
      </c>
      <c r="F55" t="s">
        <v>32</v>
      </c>
      <c r="G55" t="s">
        <v>51</v>
      </c>
      <c r="H55">
        <v>193</v>
      </c>
      <c r="I55">
        <v>147.30000000000001</v>
      </c>
      <c r="J55">
        <v>243.01</v>
      </c>
      <c r="K55">
        <v>7</v>
      </c>
      <c r="L55">
        <v>310</v>
      </c>
      <c r="M55">
        <v>49</v>
      </c>
      <c r="N55" t="s">
        <v>43</v>
      </c>
      <c r="O55" t="str">
        <f t="shared" si="0"/>
        <v>Ok</v>
      </c>
      <c r="P55">
        <f>VLOOKUP(G55, Supplier_Info!$A$1:$D$5, 2, FALSE)</f>
        <v>92</v>
      </c>
      <c r="Q55" t="str">
        <f>VLOOKUP(G55, Supplier_Info!$A$1:$D$5, 4, FALSE)</f>
        <v>Preferred</v>
      </c>
    </row>
    <row r="56" spans="1:17" x14ac:dyDescent="0.35">
      <c r="A56">
        <v>55</v>
      </c>
      <c r="B56" t="s">
        <v>101</v>
      </c>
      <c r="C56" t="s">
        <v>102</v>
      </c>
      <c r="D56" t="s">
        <v>16</v>
      </c>
      <c r="E56" t="s">
        <v>17</v>
      </c>
      <c r="F56" t="s">
        <v>28</v>
      </c>
      <c r="G56" t="s">
        <v>51</v>
      </c>
      <c r="H56">
        <v>197</v>
      </c>
      <c r="I56">
        <v>23.09</v>
      </c>
      <c r="J56">
        <v>36.659999999999997</v>
      </c>
      <c r="K56">
        <v>14</v>
      </c>
      <c r="L56">
        <v>482</v>
      </c>
      <c r="M56">
        <v>70</v>
      </c>
      <c r="N56" t="s">
        <v>20</v>
      </c>
      <c r="O56" t="str">
        <f t="shared" si="0"/>
        <v>Ok</v>
      </c>
      <c r="P56">
        <f>VLOOKUP(G56, Supplier_Info!$A$1:$D$5, 2, FALSE)</f>
        <v>92</v>
      </c>
      <c r="Q56" t="str">
        <f>VLOOKUP(G56, Supplier_Info!$A$1:$D$5, 4, FALSE)</f>
        <v>Preferred</v>
      </c>
    </row>
    <row r="57" spans="1:17" x14ac:dyDescent="0.35">
      <c r="A57">
        <v>56</v>
      </c>
      <c r="B57" t="s">
        <v>103</v>
      </c>
      <c r="C57" t="s">
        <v>49</v>
      </c>
      <c r="D57" t="s">
        <v>50</v>
      </c>
      <c r="E57" t="s">
        <v>17</v>
      </c>
      <c r="F57" t="s">
        <v>18</v>
      </c>
      <c r="G57" t="s">
        <v>51</v>
      </c>
      <c r="H57">
        <v>66</v>
      </c>
      <c r="I57">
        <v>117.58</v>
      </c>
      <c r="J57">
        <v>198.27</v>
      </c>
      <c r="K57">
        <v>20</v>
      </c>
      <c r="L57">
        <v>400</v>
      </c>
      <c r="M57">
        <v>30</v>
      </c>
      <c r="N57" t="s">
        <v>20</v>
      </c>
      <c r="O57" t="str">
        <f t="shared" si="0"/>
        <v>Ok</v>
      </c>
      <c r="P57">
        <f>VLOOKUP(G57, Supplier_Info!$A$1:$D$5, 2, FALSE)</f>
        <v>92</v>
      </c>
      <c r="Q57" t="str">
        <f>VLOOKUP(G57, Supplier_Info!$A$1:$D$5, 4, FALSE)</f>
        <v>Preferred</v>
      </c>
    </row>
    <row r="58" spans="1:17" x14ac:dyDescent="0.35">
      <c r="A58">
        <v>57</v>
      </c>
      <c r="B58" t="s">
        <v>104</v>
      </c>
      <c r="C58" t="s">
        <v>55</v>
      </c>
      <c r="D58" t="s">
        <v>16</v>
      </c>
      <c r="E58" t="s">
        <v>24</v>
      </c>
      <c r="F58" t="s">
        <v>32</v>
      </c>
      <c r="G58" t="s">
        <v>40</v>
      </c>
      <c r="H58">
        <v>11</v>
      </c>
      <c r="I58">
        <v>194.76</v>
      </c>
      <c r="J58">
        <v>316.25</v>
      </c>
      <c r="K58">
        <v>15</v>
      </c>
      <c r="L58">
        <v>421</v>
      </c>
      <c r="M58">
        <v>145</v>
      </c>
      <c r="N58" t="s">
        <v>20</v>
      </c>
      <c r="O58" t="str">
        <f t="shared" si="0"/>
        <v>Ok</v>
      </c>
      <c r="P58">
        <f>VLOOKUP(G58, Supplier_Info!$A$1:$D$5, 2, FALSE)</f>
        <v>88</v>
      </c>
      <c r="Q58" t="str">
        <f>VLOOKUP(G58, Supplier_Info!$A$1:$D$5, 4, FALSE)</f>
        <v>Preferred</v>
      </c>
    </row>
    <row r="59" spans="1:17" x14ac:dyDescent="0.35">
      <c r="A59">
        <v>58</v>
      </c>
      <c r="B59" t="s">
        <v>105</v>
      </c>
      <c r="C59" t="s">
        <v>49</v>
      </c>
      <c r="D59" t="s">
        <v>50</v>
      </c>
      <c r="E59" t="s">
        <v>17</v>
      </c>
      <c r="F59" t="s">
        <v>32</v>
      </c>
      <c r="G59" t="s">
        <v>29</v>
      </c>
      <c r="H59">
        <v>95</v>
      </c>
      <c r="I59">
        <v>117.58</v>
      </c>
      <c r="J59">
        <v>161.85</v>
      </c>
      <c r="K59">
        <v>18</v>
      </c>
      <c r="L59">
        <v>494</v>
      </c>
      <c r="M59">
        <v>89</v>
      </c>
      <c r="N59" t="s">
        <v>20</v>
      </c>
      <c r="O59" t="str">
        <f t="shared" si="0"/>
        <v>Ok</v>
      </c>
      <c r="P59">
        <f>VLOOKUP(G59, Supplier_Info!$A$1:$D$5, 2, FALSE)</f>
        <v>65</v>
      </c>
      <c r="Q59" t="str">
        <f>VLOOKUP(G59, Supplier_Info!$A$1:$D$5, 4, FALSE)</f>
        <v>Standard</v>
      </c>
    </row>
    <row r="60" spans="1:17" x14ac:dyDescent="0.35">
      <c r="A60">
        <v>59</v>
      </c>
      <c r="B60" t="s">
        <v>106</v>
      </c>
      <c r="C60" t="s">
        <v>107</v>
      </c>
      <c r="D60" t="s">
        <v>50</v>
      </c>
      <c r="E60" t="s">
        <v>17</v>
      </c>
      <c r="F60" t="s">
        <v>32</v>
      </c>
      <c r="G60" t="s">
        <v>40</v>
      </c>
      <c r="H60">
        <v>49</v>
      </c>
      <c r="I60">
        <v>23.86</v>
      </c>
      <c r="J60">
        <v>41.18</v>
      </c>
      <c r="K60">
        <v>10</v>
      </c>
      <c r="L60">
        <v>451</v>
      </c>
      <c r="M60">
        <v>135</v>
      </c>
      <c r="N60" t="s">
        <v>20</v>
      </c>
      <c r="O60" t="str">
        <f t="shared" si="0"/>
        <v>Ok</v>
      </c>
      <c r="P60">
        <f>VLOOKUP(G60, Supplier_Info!$A$1:$D$5, 2, FALSE)</f>
        <v>88</v>
      </c>
      <c r="Q60" t="str">
        <f>VLOOKUP(G60, Supplier_Info!$A$1:$D$5, 4, FALSE)</f>
        <v>Preferred</v>
      </c>
    </row>
    <row r="61" spans="1:17" x14ac:dyDescent="0.35">
      <c r="A61">
        <v>60</v>
      </c>
      <c r="B61" t="s">
        <v>108</v>
      </c>
      <c r="C61" t="s">
        <v>107</v>
      </c>
      <c r="D61" t="s">
        <v>50</v>
      </c>
      <c r="E61" t="s">
        <v>24</v>
      </c>
      <c r="F61" t="s">
        <v>18</v>
      </c>
      <c r="G61" t="s">
        <v>29</v>
      </c>
      <c r="H61">
        <v>171</v>
      </c>
      <c r="I61">
        <v>23.86</v>
      </c>
      <c r="J61">
        <v>31.36</v>
      </c>
      <c r="K61">
        <v>7</v>
      </c>
      <c r="L61">
        <v>249</v>
      </c>
      <c r="M61">
        <v>74</v>
      </c>
      <c r="N61" t="s">
        <v>43</v>
      </c>
      <c r="O61" t="str">
        <f t="shared" si="0"/>
        <v>Ok</v>
      </c>
      <c r="P61">
        <f>VLOOKUP(G61, Supplier_Info!$A$1:$D$5, 2, FALSE)</f>
        <v>65</v>
      </c>
      <c r="Q61" t="str">
        <f>VLOOKUP(G61, Supplier_Info!$A$1:$D$5, 4, FALSE)</f>
        <v>Standard</v>
      </c>
    </row>
    <row r="62" spans="1:17" x14ac:dyDescent="0.35">
      <c r="A62">
        <v>61</v>
      </c>
      <c r="B62" t="s">
        <v>109</v>
      </c>
      <c r="C62" t="s">
        <v>39</v>
      </c>
      <c r="D62" t="s">
        <v>16</v>
      </c>
      <c r="E62" t="s">
        <v>27</v>
      </c>
      <c r="F62" t="s">
        <v>32</v>
      </c>
      <c r="G62" t="s">
        <v>40</v>
      </c>
      <c r="H62">
        <v>102</v>
      </c>
      <c r="I62">
        <v>78.81</v>
      </c>
      <c r="J62">
        <v>102.85</v>
      </c>
      <c r="K62">
        <v>4</v>
      </c>
      <c r="L62">
        <v>123</v>
      </c>
      <c r="M62">
        <v>124</v>
      </c>
      <c r="N62" t="s">
        <v>20</v>
      </c>
      <c r="O62" t="str">
        <f t="shared" si="0"/>
        <v>Reorder Now</v>
      </c>
      <c r="P62">
        <f>VLOOKUP(G62, Supplier_Info!$A$1:$D$5, 2, FALSE)</f>
        <v>88</v>
      </c>
      <c r="Q62" t="str">
        <f>VLOOKUP(G62, Supplier_Info!$A$1:$D$5, 4, FALSE)</f>
        <v>Preferred</v>
      </c>
    </row>
    <row r="63" spans="1:17" x14ac:dyDescent="0.35">
      <c r="A63">
        <v>62</v>
      </c>
      <c r="B63" t="s">
        <v>110</v>
      </c>
      <c r="C63" t="s">
        <v>37</v>
      </c>
      <c r="D63" t="s">
        <v>35</v>
      </c>
      <c r="E63" t="s">
        <v>27</v>
      </c>
      <c r="F63" t="s">
        <v>18</v>
      </c>
      <c r="G63" t="s">
        <v>29</v>
      </c>
      <c r="H63">
        <v>234</v>
      </c>
      <c r="I63">
        <v>125.61</v>
      </c>
      <c r="J63">
        <v>208</v>
      </c>
      <c r="K63">
        <v>2</v>
      </c>
      <c r="L63">
        <v>47</v>
      </c>
      <c r="M63">
        <v>95</v>
      </c>
      <c r="N63" t="s">
        <v>20</v>
      </c>
      <c r="O63" t="str">
        <f t="shared" si="0"/>
        <v>Reorder Now</v>
      </c>
      <c r="P63">
        <f>VLOOKUP(G63, Supplier_Info!$A$1:$D$5, 2, FALSE)</f>
        <v>65</v>
      </c>
      <c r="Q63" t="str">
        <f>VLOOKUP(G63, Supplier_Info!$A$1:$D$5, 4, FALSE)</f>
        <v>Standard</v>
      </c>
    </row>
    <row r="64" spans="1:17" x14ac:dyDescent="0.35">
      <c r="A64">
        <v>63</v>
      </c>
      <c r="B64" t="s">
        <v>111</v>
      </c>
      <c r="C64" t="s">
        <v>98</v>
      </c>
      <c r="D64" t="s">
        <v>35</v>
      </c>
      <c r="E64" t="s">
        <v>24</v>
      </c>
      <c r="F64" t="s">
        <v>18</v>
      </c>
      <c r="G64" t="s">
        <v>29</v>
      </c>
      <c r="H64">
        <v>181</v>
      </c>
      <c r="I64">
        <v>109.56</v>
      </c>
      <c r="J64">
        <v>172.75</v>
      </c>
      <c r="K64">
        <v>15</v>
      </c>
      <c r="L64">
        <v>381</v>
      </c>
      <c r="M64">
        <v>104</v>
      </c>
      <c r="N64" t="s">
        <v>20</v>
      </c>
      <c r="O64" t="str">
        <f t="shared" si="0"/>
        <v>Ok</v>
      </c>
      <c r="P64">
        <f>VLOOKUP(G64, Supplier_Info!$A$1:$D$5, 2, FALSE)</f>
        <v>65</v>
      </c>
      <c r="Q64" t="str">
        <f>VLOOKUP(G64, Supplier_Info!$A$1:$D$5, 4, FALSE)</f>
        <v>Standard</v>
      </c>
    </row>
    <row r="65" spans="1:17" x14ac:dyDescent="0.35">
      <c r="A65">
        <v>64</v>
      </c>
      <c r="B65" t="s">
        <v>112</v>
      </c>
      <c r="C65" t="s">
        <v>15</v>
      </c>
      <c r="D65" t="s">
        <v>16</v>
      </c>
      <c r="E65" t="s">
        <v>24</v>
      </c>
      <c r="F65" t="s">
        <v>18</v>
      </c>
      <c r="G65" t="s">
        <v>29</v>
      </c>
      <c r="H65">
        <v>103</v>
      </c>
      <c r="I65">
        <v>191.66</v>
      </c>
      <c r="J65">
        <v>260.72000000000003</v>
      </c>
      <c r="K65">
        <v>12</v>
      </c>
      <c r="L65">
        <v>61</v>
      </c>
      <c r="M65">
        <v>67</v>
      </c>
      <c r="N65" t="s">
        <v>20</v>
      </c>
      <c r="O65" t="str">
        <f t="shared" si="0"/>
        <v>Reorder Now</v>
      </c>
      <c r="P65">
        <f>VLOOKUP(G65, Supplier_Info!$A$1:$D$5, 2, FALSE)</f>
        <v>65</v>
      </c>
      <c r="Q65" t="str">
        <f>VLOOKUP(G65, Supplier_Info!$A$1:$D$5, 4, FALSE)</f>
        <v>Standard</v>
      </c>
    </row>
    <row r="66" spans="1:17" x14ac:dyDescent="0.35">
      <c r="A66">
        <v>65</v>
      </c>
      <c r="B66" t="s">
        <v>113</v>
      </c>
      <c r="C66" t="s">
        <v>57</v>
      </c>
      <c r="D66" t="s">
        <v>35</v>
      </c>
      <c r="E66" t="s">
        <v>17</v>
      </c>
      <c r="F66" t="s">
        <v>28</v>
      </c>
      <c r="G66" t="s">
        <v>29</v>
      </c>
      <c r="H66">
        <v>156</v>
      </c>
      <c r="I66">
        <v>162.13</v>
      </c>
      <c r="J66">
        <v>278.27</v>
      </c>
      <c r="K66">
        <v>9</v>
      </c>
      <c r="L66">
        <v>184</v>
      </c>
      <c r="M66">
        <v>65</v>
      </c>
      <c r="N66" t="s">
        <v>20</v>
      </c>
      <c r="O66" t="str">
        <f t="shared" si="0"/>
        <v>Ok</v>
      </c>
      <c r="P66">
        <f>VLOOKUP(G66, Supplier_Info!$A$1:$D$5, 2, FALSE)</f>
        <v>65</v>
      </c>
      <c r="Q66" t="str">
        <f>VLOOKUP(G66, Supplier_Info!$A$1:$D$5, 4, FALSE)</f>
        <v>Standard</v>
      </c>
    </row>
    <row r="67" spans="1:17" x14ac:dyDescent="0.35">
      <c r="A67">
        <v>66</v>
      </c>
      <c r="B67" t="s">
        <v>114</v>
      </c>
      <c r="C67" t="s">
        <v>59</v>
      </c>
      <c r="D67" t="s">
        <v>23</v>
      </c>
      <c r="E67" t="s">
        <v>27</v>
      </c>
      <c r="F67" t="s">
        <v>32</v>
      </c>
      <c r="G67" t="s">
        <v>29</v>
      </c>
      <c r="H67">
        <v>288</v>
      </c>
      <c r="I67">
        <v>162.84</v>
      </c>
      <c r="J67">
        <v>291.02</v>
      </c>
      <c r="K67">
        <v>11</v>
      </c>
      <c r="L67">
        <v>357</v>
      </c>
      <c r="M67">
        <v>52</v>
      </c>
      <c r="N67" t="s">
        <v>20</v>
      </c>
      <c r="O67" t="str">
        <f t="shared" ref="O67:O130" si="1">IF(L67&lt;M67, "Reorder Now", "Ok")</f>
        <v>Ok</v>
      </c>
      <c r="P67">
        <f>VLOOKUP(G67, Supplier_Info!$A$1:$D$5, 2, FALSE)</f>
        <v>65</v>
      </c>
      <c r="Q67" t="str">
        <f>VLOOKUP(G67, Supplier_Info!$A$1:$D$5, 4, FALSE)</f>
        <v>Standard</v>
      </c>
    </row>
    <row r="68" spans="1:17" x14ac:dyDescent="0.35">
      <c r="A68">
        <v>67</v>
      </c>
      <c r="B68" t="s">
        <v>115</v>
      </c>
      <c r="C68" t="s">
        <v>98</v>
      </c>
      <c r="D68" t="s">
        <v>35</v>
      </c>
      <c r="E68" t="s">
        <v>24</v>
      </c>
      <c r="F68" t="s">
        <v>28</v>
      </c>
      <c r="G68" t="s">
        <v>51</v>
      </c>
      <c r="H68">
        <v>179</v>
      </c>
      <c r="I68">
        <v>109.56</v>
      </c>
      <c r="J68">
        <v>168.65</v>
      </c>
      <c r="K68">
        <v>7</v>
      </c>
      <c r="L68">
        <v>494</v>
      </c>
      <c r="M68">
        <v>33</v>
      </c>
      <c r="N68" t="s">
        <v>43</v>
      </c>
      <c r="O68" t="str">
        <f t="shared" si="1"/>
        <v>Ok</v>
      </c>
      <c r="P68">
        <f>VLOOKUP(G68, Supplier_Info!$A$1:$D$5, 2, FALSE)</f>
        <v>92</v>
      </c>
      <c r="Q68" t="str">
        <f>VLOOKUP(G68, Supplier_Info!$A$1:$D$5, 4, FALSE)</f>
        <v>Preferred</v>
      </c>
    </row>
    <row r="69" spans="1:17" x14ac:dyDescent="0.35">
      <c r="A69">
        <v>68</v>
      </c>
      <c r="B69" t="s">
        <v>116</v>
      </c>
      <c r="C69" t="s">
        <v>70</v>
      </c>
      <c r="D69" t="s">
        <v>23</v>
      </c>
      <c r="E69" t="s">
        <v>27</v>
      </c>
      <c r="F69" t="s">
        <v>28</v>
      </c>
      <c r="G69" t="s">
        <v>40</v>
      </c>
      <c r="H69">
        <v>300</v>
      </c>
      <c r="I69">
        <v>122.73</v>
      </c>
      <c r="J69">
        <v>189.73</v>
      </c>
      <c r="K69">
        <v>3</v>
      </c>
      <c r="L69">
        <v>77</v>
      </c>
      <c r="M69">
        <v>58</v>
      </c>
      <c r="N69" t="s">
        <v>20</v>
      </c>
      <c r="O69" t="str">
        <f t="shared" si="1"/>
        <v>Ok</v>
      </c>
      <c r="P69">
        <f>VLOOKUP(G69, Supplier_Info!$A$1:$D$5, 2, FALSE)</f>
        <v>88</v>
      </c>
      <c r="Q69" t="str">
        <f>VLOOKUP(G69, Supplier_Info!$A$1:$D$5, 4, FALSE)</f>
        <v>Preferred</v>
      </c>
    </row>
    <row r="70" spans="1:17" x14ac:dyDescent="0.35">
      <c r="A70">
        <v>69</v>
      </c>
      <c r="B70" t="s">
        <v>92</v>
      </c>
      <c r="C70" t="s">
        <v>68</v>
      </c>
      <c r="D70" t="s">
        <v>16</v>
      </c>
      <c r="E70" t="s">
        <v>17</v>
      </c>
      <c r="F70" t="s">
        <v>18</v>
      </c>
      <c r="G70" t="s">
        <v>29</v>
      </c>
      <c r="H70">
        <v>120</v>
      </c>
      <c r="I70">
        <v>166.73</v>
      </c>
      <c r="J70">
        <v>266.45</v>
      </c>
      <c r="K70">
        <v>18</v>
      </c>
      <c r="L70">
        <v>194</v>
      </c>
      <c r="M70">
        <v>135</v>
      </c>
      <c r="N70" t="s">
        <v>20</v>
      </c>
      <c r="O70" t="str">
        <f t="shared" si="1"/>
        <v>Ok</v>
      </c>
      <c r="P70">
        <f>VLOOKUP(G70, Supplier_Info!$A$1:$D$5, 2, FALSE)</f>
        <v>65</v>
      </c>
      <c r="Q70" t="str">
        <f>VLOOKUP(G70, Supplier_Info!$A$1:$D$5, 4, FALSE)</f>
        <v>Standard</v>
      </c>
    </row>
    <row r="71" spans="1:17" x14ac:dyDescent="0.35">
      <c r="A71">
        <v>70</v>
      </c>
      <c r="B71" t="s">
        <v>117</v>
      </c>
      <c r="C71" t="s">
        <v>53</v>
      </c>
      <c r="D71" t="s">
        <v>23</v>
      </c>
      <c r="E71" t="s">
        <v>27</v>
      </c>
      <c r="F71" t="s">
        <v>28</v>
      </c>
      <c r="G71" t="s">
        <v>19</v>
      </c>
      <c r="H71">
        <v>55</v>
      </c>
      <c r="I71">
        <v>112.65</v>
      </c>
      <c r="J71">
        <v>181.42</v>
      </c>
      <c r="K71">
        <v>8</v>
      </c>
      <c r="L71">
        <v>320</v>
      </c>
      <c r="M71">
        <v>74</v>
      </c>
      <c r="N71" t="s">
        <v>20</v>
      </c>
      <c r="O71" t="str">
        <f t="shared" si="1"/>
        <v>Ok</v>
      </c>
      <c r="P71">
        <f>VLOOKUP(G71, Supplier_Info!$A$1:$D$5, 2, FALSE)</f>
        <v>78</v>
      </c>
      <c r="Q71" t="str">
        <f>VLOOKUP(G71, Supplier_Info!$A$1:$D$5, 4, FALSE)</f>
        <v>Standard</v>
      </c>
    </row>
    <row r="72" spans="1:17" x14ac:dyDescent="0.35">
      <c r="A72">
        <v>71</v>
      </c>
      <c r="B72" t="s">
        <v>118</v>
      </c>
      <c r="C72" t="s">
        <v>39</v>
      </c>
      <c r="D72" t="s">
        <v>16</v>
      </c>
      <c r="E72" t="s">
        <v>24</v>
      </c>
      <c r="F72" t="s">
        <v>32</v>
      </c>
      <c r="G72" t="s">
        <v>29</v>
      </c>
      <c r="H72">
        <v>6</v>
      </c>
      <c r="I72">
        <v>78.81</v>
      </c>
      <c r="J72">
        <v>105.41</v>
      </c>
      <c r="K72">
        <v>15</v>
      </c>
      <c r="L72">
        <v>230</v>
      </c>
      <c r="M72">
        <v>140</v>
      </c>
      <c r="N72" t="s">
        <v>20</v>
      </c>
      <c r="O72" t="str">
        <f t="shared" si="1"/>
        <v>Ok</v>
      </c>
      <c r="P72">
        <f>VLOOKUP(G72, Supplier_Info!$A$1:$D$5, 2, FALSE)</f>
        <v>65</v>
      </c>
      <c r="Q72" t="str">
        <f>VLOOKUP(G72, Supplier_Info!$A$1:$D$5, 4, FALSE)</f>
        <v>Standard</v>
      </c>
    </row>
    <row r="73" spans="1:17" x14ac:dyDescent="0.35">
      <c r="A73">
        <v>72</v>
      </c>
      <c r="B73" t="s">
        <v>119</v>
      </c>
      <c r="C73" t="s">
        <v>49</v>
      </c>
      <c r="D73" t="s">
        <v>50</v>
      </c>
      <c r="E73" t="s">
        <v>17</v>
      </c>
      <c r="F73" t="s">
        <v>28</v>
      </c>
      <c r="G73" t="s">
        <v>19</v>
      </c>
      <c r="H73">
        <v>41</v>
      </c>
      <c r="I73">
        <v>117.58</v>
      </c>
      <c r="J73">
        <v>203.39</v>
      </c>
      <c r="K73">
        <v>9</v>
      </c>
      <c r="L73">
        <v>473</v>
      </c>
      <c r="M73">
        <v>87</v>
      </c>
      <c r="N73" t="s">
        <v>20</v>
      </c>
      <c r="O73" t="str">
        <f t="shared" si="1"/>
        <v>Ok</v>
      </c>
      <c r="P73">
        <f>VLOOKUP(G73, Supplier_Info!$A$1:$D$5, 2, FALSE)</f>
        <v>78</v>
      </c>
      <c r="Q73" t="str">
        <f>VLOOKUP(G73, Supplier_Info!$A$1:$D$5, 4, FALSE)</f>
        <v>Standard</v>
      </c>
    </row>
    <row r="74" spans="1:17" x14ac:dyDescent="0.35">
      <c r="A74">
        <v>73</v>
      </c>
      <c r="B74" t="s">
        <v>120</v>
      </c>
      <c r="C74" t="s">
        <v>61</v>
      </c>
      <c r="D74" t="s">
        <v>23</v>
      </c>
      <c r="E74" t="s">
        <v>24</v>
      </c>
      <c r="F74" t="s">
        <v>32</v>
      </c>
      <c r="G74" t="s">
        <v>29</v>
      </c>
      <c r="H74">
        <v>41</v>
      </c>
      <c r="I74">
        <v>70.64</v>
      </c>
      <c r="J74">
        <v>121.03</v>
      </c>
      <c r="K74">
        <v>3</v>
      </c>
      <c r="L74">
        <v>84</v>
      </c>
      <c r="M74">
        <v>98</v>
      </c>
      <c r="N74" t="s">
        <v>20</v>
      </c>
      <c r="O74" t="str">
        <f t="shared" si="1"/>
        <v>Reorder Now</v>
      </c>
      <c r="P74">
        <f>VLOOKUP(G74, Supplier_Info!$A$1:$D$5, 2, FALSE)</f>
        <v>65</v>
      </c>
      <c r="Q74" t="str">
        <f>VLOOKUP(G74, Supplier_Info!$A$1:$D$5, 4, FALSE)</f>
        <v>Standard</v>
      </c>
    </row>
    <row r="75" spans="1:17" x14ac:dyDescent="0.35">
      <c r="A75">
        <v>74</v>
      </c>
      <c r="B75" t="s">
        <v>121</v>
      </c>
      <c r="C75" t="s">
        <v>49</v>
      </c>
      <c r="D75" t="s">
        <v>50</v>
      </c>
      <c r="E75" t="s">
        <v>27</v>
      </c>
      <c r="F75" t="s">
        <v>18</v>
      </c>
      <c r="G75" t="s">
        <v>29</v>
      </c>
      <c r="H75">
        <v>144</v>
      </c>
      <c r="I75">
        <v>117.58</v>
      </c>
      <c r="J75">
        <v>176.52</v>
      </c>
      <c r="K75">
        <v>18</v>
      </c>
      <c r="L75">
        <v>276</v>
      </c>
      <c r="M75">
        <v>146</v>
      </c>
      <c r="N75" t="s">
        <v>20</v>
      </c>
      <c r="O75" t="str">
        <f t="shared" si="1"/>
        <v>Ok</v>
      </c>
      <c r="P75">
        <f>VLOOKUP(G75, Supplier_Info!$A$1:$D$5, 2, FALSE)</f>
        <v>65</v>
      </c>
      <c r="Q75" t="str">
        <f>VLOOKUP(G75, Supplier_Info!$A$1:$D$5, 4, FALSE)</f>
        <v>Standard</v>
      </c>
    </row>
    <row r="76" spans="1:17" x14ac:dyDescent="0.35">
      <c r="A76">
        <v>75</v>
      </c>
      <c r="B76" t="s">
        <v>122</v>
      </c>
      <c r="C76" t="s">
        <v>68</v>
      </c>
      <c r="D76" t="s">
        <v>16</v>
      </c>
      <c r="E76" t="s">
        <v>27</v>
      </c>
      <c r="F76" t="s">
        <v>18</v>
      </c>
      <c r="G76" t="s">
        <v>40</v>
      </c>
      <c r="H76">
        <v>51</v>
      </c>
      <c r="I76">
        <v>166.73</v>
      </c>
      <c r="J76">
        <v>237.62</v>
      </c>
      <c r="K76">
        <v>9</v>
      </c>
      <c r="L76">
        <v>492</v>
      </c>
      <c r="M76">
        <v>25</v>
      </c>
      <c r="N76" t="s">
        <v>20</v>
      </c>
      <c r="O76" t="str">
        <f t="shared" si="1"/>
        <v>Ok</v>
      </c>
      <c r="P76">
        <f>VLOOKUP(G76, Supplier_Info!$A$1:$D$5, 2, FALSE)</f>
        <v>88</v>
      </c>
      <c r="Q76" t="str">
        <f>VLOOKUP(G76, Supplier_Info!$A$1:$D$5, 4, FALSE)</f>
        <v>Preferred</v>
      </c>
    </row>
    <row r="77" spans="1:17" x14ac:dyDescent="0.35">
      <c r="A77">
        <v>76</v>
      </c>
      <c r="B77" t="s">
        <v>123</v>
      </c>
      <c r="C77" t="s">
        <v>61</v>
      </c>
      <c r="D77" t="s">
        <v>23</v>
      </c>
      <c r="E77" t="s">
        <v>24</v>
      </c>
      <c r="F77" t="s">
        <v>18</v>
      </c>
      <c r="G77" t="s">
        <v>51</v>
      </c>
      <c r="H77">
        <v>228</v>
      </c>
      <c r="I77">
        <v>70.64</v>
      </c>
      <c r="J77">
        <v>98.24</v>
      </c>
      <c r="K77">
        <v>17</v>
      </c>
      <c r="L77">
        <v>496</v>
      </c>
      <c r="M77">
        <v>43</v>
      </c>
      <c r="N77" t="s">
        <v>20</v>
      </c>
      <c r="O77" t="str">
        <f t="shared" si="1"/>
        <v>Ok</v>
      </c>
      <c r="P77">
        <f>VLOOKUP(G77, Supplier_Info!$A$1:$D$5, 2, FALSE)</f>
        <v>92</v>
      </c>
      <c r="Q77" t="str">
        <f>VLOOKUP(G77, Supplier_Info!$A$1:$D$5, 4, FALSE)</f>
        <v>Preferred</v>
      </c>
    </row>
    <row r="78" spans="1:17" x14ac:dyDescent="0.35">
      <c r="A78">
        <v>77</v>
      </c>
      <c r="B78" t="s">
        <v>124</v>
      </c>
      <c r="C78" t="s">
        <v>76</v>
      </c>
      <c r="D78" t="s">
        <v>35</v>
      </c>
      <c r="E78" t="s">
        <v>24</v>
      </c>
      <c r="F78" t="s">
        <v>18</v>
      </c>
      <c r="G78" t="s">
        <v>29</v>
      </c>
      <c r="H78">
        <v>258</v>
      </c>
      <c r="I78">
        <v>71.349999999999994</v>
      </c>
      <c r="J78">
        <v>104.52</v>
      </c>
      <c r="K78">
        <v>11</v>
      </c>
      <c r="L78">
        <v>339</v>
      </c>
      <c r="M78">
        <v>122</v>
      </c>
      <c r="N78" t="s">
        <v>20</v>
      </c>
      <c r="O78" t="str">
        <f t="shared" si="1"/>
        <v>Ok</v>
      </c>
      <c r="P78">
        <f>VLOOKUP(G78, Supplier_Info!$A$1:$D$5, 2, FALSE)</f>
        <v>65</v>
      </c>
      <c r="Q78" t="str">
        <f>VLOOKUP(G78, Supplier_Info!$A$1:$D$5, 4, FALSE)</f>
        <v>Standard</v>
      </c>
    </row>
    <row r="79" spans="1:17" x14ac:dyDescent="0.35">
      <c r="A79">
        <v>78</v>
      </c>
      <c r="B79" t="s">
        <v>125</v>
      </c>
      <c r="C79" t="s">
        <v>57</v>
      </c>
      <c r="D79" t="s">
        <v>35</v>
      </c>
      <c r="E79" t="s">
        <v>27</v>
      </c>
      <c r="F79" t="s">
        <v>32</v>
      </c>
      <c r="G79" t="s">
        <v>29</v>
      </c>
      <c r="H79">
        <v>211</v>
      </c>
      <c r="I79">
        <v>162.13</v>
      </c>
      <c r="J79">
        <v>289.42</v>
      </c>
      <c r="K79">
        <v>18</v>
      </c>
      <c r="L79">
        <v>422</v>
      </c>
      <c r="M79">
        <v>20</v>
      </c>
      <c r="N79" t="s">
        <v>20</v>
      </c>
      <c r="O79" t="str">
        <f t="shared" si="1"/>
        <v>Ok</v>
      </c>
      <c r="P79">
        <f>VLOOKUP(G79, Supplier_Info!$A$1:$D$5, 2, FALSE)</f>
        <v>65</v>
      </c>
      <c r="Q79" t="str">
        <f>VLOOKUP(G79, Supplier_Info!$A$1:$D$5, 4, FALSE)</f>
        <v>Standard</v>
      </c>
    </row>
    <row r="80" spans="1:17" x14ac:dyDescent="0.35">
      <c r="A80">
        <v>79</v>
      </c>
      <c r="B80" t="s">
        <v>126</v>
      </c>
      <c r="C80" t="s">
        <v>68</v>
      </c>
      <c r="D80" t="s">
        <v>16</v>
      </c>
      <c r="E80" t="s">
        <v>24</v>
      </c>
      <c r="F80" t="s">
        <v>32</v>
      </c>
      <c r="G80" t="s">
        <v>40</v>
      </c>
      <c r="H80">
        <v>231</v>
      </c>
      <c r="I80">
        <v>166.73</v>
      </c>
      <c r="J80">
        <v>279.81</v>
      </c>
      <c r="K80">
        <v>3</v>
      </c>
      <c r="L80">
        <v>104</v>
      </c>
      <c r="M80">
        <v>88</v>
      </c>
      <c r="N80" t="s">
        <v>43</v>
      </c>
      <c r="O80" t="str">
        <f t="shared" si="1"/>
        <v>Ok</v>
      </c>
      <c r="P80">
        <f>VLOOKUP(G80, Supplier_Info!$A$1:$D$5, 2, FALSE)</f>
        <v>88</v>
      </c>
      <c r="Q80" t="str">
        <f>VLOOKUP(G80, Supplier_Info!$A$1:$D$5, 4, FALSE)</f>
        <v>Preferred</v>
      </c>
    </row>
    <row r="81" spans="1:17" x14ac:dyDescent="0.35">
      <c r="A81">
        <v>80</v>
      </c>
      <c r="B81" t="s">
        <v>127</v>
      </c>
      <c r="C81" t="s">
        <v>57</v>
      </c>
      <c r="D81" t="s">
        <v>35</v>
      </c>
      <c r="E81" t="s">
        <v>27</v>
      </c>
      <c r="F81" t="s">
        <v>18</v>
      </c>
      <c r="G81" t="s">
        <v>51</v>
      </c>
      <c r="H81">
        <v>127</v>
      </c>
      <c r="I81">
        <v>162.13</v>
      </c>
      <c r="J81">
        <v>213.11</v>
      </c>
      <c r="K81">
        <v>7</v>
      </c>
      <c r="L81">
        <v>159</v>
      </c>
      <c r="M81">
        <v>23</v>
      </c>
      <c r="N81" t="s">
        <v>20</v>
      </c>
      <c r="O81" t="str">
        <f t="shared" si="1"/>
        <v>Ok</v>
      </c>
      <c r="P81">
        <f>VLOOKUP(G81, Supplier_Info!$A$1:$D$5, 2, FALSE)</f>
        <v>92</v>
      </c>
      <c r="Q81" t="str">
        <f>VLOOKUP(G81, Supplier_Info!$A$1:$D$5, 4, FALSE)</f>
        <v>Preferred</v>
      </c>
    </row>
    <row r="82" spans="1:17" x14ac:dyDescent="0.35">
      <c r="A82">
        <v>81</v>
      </c>
      <c r="B82" t="s">
        <v>128</v>
      </c>
      <c r="C82" t="s">
        <v>37</v>
      </c>
      <c r="D82" t="s">
        <v>35</v>
      </c>
      <c r="E82" t="s">
        <v>24</v>
      </c>
      <c r="F82" t="s">
        <v>28</v>
      </c>
      <c r="G82" t="s">
        <v>40</v>
      </c>
      <c r="H82">
        <v>260</v>
      </c>
      <c r="I82">
        <v>125.61</v>
      </c>
      <c r="J82">
        <v>215.56</v>
      </c>
      <c r="K82">
        <v>11</v>
      </c>
      <c r="L82">
        <v>260</v>
      </c>
      <c r="M82">
        <v>89</v>
      </c>
      <c r="N82" t="s">
        <v>43</v>
      </c>
      <c r="O82" t="str">
        <f t="shared" si="1"/>
        <v>Ok</v>
      </c>
      <c r="P82">
        <f>VLOOKUP(G82, Supplier_Info!$A$1:$D$5, 2, FALSE)</f>
        <v>88</v>
      </c>
      <c r="Q82" t="str">
        <f>VLOOKUP(G82, Supplier_Info!$A$1:$D$5, 4, FALSE)</f>
        <v>Preferred</v>
      </c>
    </row>
    <row r="83" spans="1:17" x14ac:dyDescent="0.35">
      <c r="A83">
        <v>82</v>
      </c>
      <c r="B83" t="s">
        <v>46</v>
      </c>
      <c r="C83" t="s">
        <v>39</v>
      </c>
      <c r="D83" t="s">
        <v>16</v>
      </c>
      <c r="E83" t="s">
        <v>24</v>
      </c>
      <c r="F83" t="s">
        <v>18</v>
      </c>
      <c r="G83" t="s">
        <v>29</v>
      </c>
      <c r="H83">
        <v>102</v>
      </c>
      <c r="I83">
        <v>78.81</v>
      </c>
      <c r="J83">
        <v>108.15</v>
      </c>
      <c r="K83">
        <v>21</v>
      </c>
      <c r="L83">
        <v>260</v>
      </c>
      <c r="M83">
        <v>54</v>
      </c>
      <c r="N83" t="s">
        <v>20</v>
      </c>
      <c r="O83" t="str">
        <f t="shared" si="1"/>
        <v>Ok</v>
      </c>
      <c r="P83">
        <f>VLOOKUP(G83, Supplier_Info!$A$1:$D$5, 2, FALSE)</f>
        <v>65</v>
      </c>
      <c r="Q83" t="str">
        <f>VLOOKUP(G83, Supplier_Info!$A$1:$D$5, 4, FALSE)</f>
        <v>Standard</v>
      </c>
    </row>
    <row r="84" spans="1:17" x14ac:dyDescent="0.35">
      <c r="A84">
        <v>83</v>
      </c>
      <c r="B84" t="s">
        <v>129</v>
      </c>
      <c r="C84" t="s">
        <v>42</v>
      </c>
      <c r="D84" t="s">
        <v>23</v>
      </c>
      <c r="E84" t="s">
        <v>24</v>
      </c>
      <c r="F84" t="s">
        <v>18</v>
      </c>
      <c r="G84" t="s">
        <v>29</v>
      </c>
      <c r="H84">
        <v>157</v>
      </c>
      <c r="I84">
        <v>119.91</v>
      </c>
      <c r="J84">
        <v>172.84</v>
      </c>
      <c r="K84">
        <v>20</v>
      </c>
      <c r="L84">
        <v>296</v>
      </c>
      <c r="M84">
        <v>145</v>
      </c>
      <c r="N84" t="s">
        <v>20</v>
      </c>
      <c r="O84" t="str">
        <f t="shared" si="1"/>
        <v>Ok</v>
      </c>
      <c r="P84">
        <f>VLOOKUP(G84, Supplier_Info!$A$1:$D$5, 2, FALSE)</f>
        <v>65</v>
      </c>
      <c r="Q84" t="str">
        <f>VLOOKUP(G84, Supplier_Info!$A$1:$D$5, 4, FALSE)</f>
        <v>Standard</v>
      </c>
    </row>
    <row r="85" spans="1:17" x14ac:dyDescent="0.35">
      <c r="A85">
        <v>84</v>
      </c>
      <c r="B85" t="s">
        <v>130</v>
      </c>
      <c r="C85" t="s">
        <v>39</v>
      </c>
      <c r="D85" t="s">
        <v>16</v>
      </c>
      <c r="E85" t="s">
        <v>27</v>
      </c>
      <c r="F85" t="s">
        <v>32</v>
      </c>
      <c r="G85" t="s">
        <v>40</v>
      </c>
      <c r="H85">
        <v>198</v>
      </c>
      <c r="I85">
        <v>78.81</v>
      </c>
      <c r="J85">
        <v>132.51</v>
      </c>
      <c r="K85">
        <v>16</v>
      </c>
      <c r="L85">
        <v>477</v>
      </c>
      <c r="M85">
        <v>102</v>
      </c>
      <c r="N85" t="s">
        <v>43</v>
      </c>
      <c r="O85" t="str">
        <f t="shared" si="1"/>
        <v>Ok</v>
      </c>
      <c r="P85">
        <f>VLOOKUP(G85, Supplier_Info!$A$1:$D$5, 2, FALSE)</f>
        <v>88</v>
      </c>
      <c r="Q85" t="str">
        <f>VLOOKUP(G85, Supplier_Info!$A$1:$D$5, 4, FALSE)</f>
        <v>Preferred</v>
      </c>
    </row>
    <row r="86" spans="1:17" x14ac:dyDescent="0.35">
      <c r="A86">
        <v>85</v>
      </c>
      <c r="B86" t="s">
        <v>36</v>
      </c>
      <c r="C86" t="s">
        <v>15</v>
      </c>
      <c r="D86" t="s">
        <v>16</v>
      </c>
      <c r="E86" t="s">
        <v>17</v>
      </c>
      <c r="F86" t="s">
        <v>32</v>
      </c>
      <c r="G86" t="s">
        <v>19</v>
      </c>
      <c r="H86">
        <v>215</v>
      </c>
      <c r="I86">
        <v>191.66</v>
      </c>
      <c r="J86">
        <v>331.19</v>
      </c>
      <c r="K86">
        <v>3</v>
      </c>
      <c r="L86">
        <v>162</v>
      </c>
      <c r="M86">
        <v>141</v>
      </c>
      <c r="N86" t="s">
        <v>20</v>
      </c>
      <c r="O86" t="str">
        <f t="shared" si="1"/>
        <v>Ok</v>
      </c>
      <c r="P86">
        <f>VLOOKUP(G86, Supplier_Info!$A$1:$D$5, 2, FALSE)</f>
        <v>78</v>
      </c>
      <c r="Q86" t="str">
        <f>VLOOKUP(G86, Supplier_Info!$A$1:$D$5, 4, FALSE)</f>
        <v>Standard</v>
      </c>
    </row>
    <row r="87" spans="1:17" x14ac:dyDescent="0.35">
      <c r="A87">
        <v>86</v>
      </c>
      <c r="B87" t="s">
        <v>131</v>
      </c>
      <c r="C87" t="s">
        <v>98</v>
      </c>
      <c r="D87" t="s">
        <v>35</v>
      </c>
      <c r="E87" t="s">
        <v>24</v>
      </c>
      <c r="F87" t="s">
        <v>28</v>
      </c>
      <c r="G87" t="s">
        <v>40</v>
      </c>
      <c r="H87">
        <v>69</v>
      </c>
      <c r="I87">
        <v>109.56</v>
      </c>
      <c r="J87">
        <v>195.28</v>
      </c>
      <c r="K87">
        <v>18</v>
      </c>
      <c r="L87">
        <v>494</v>
      </c>
      <c r="M87">
        <v>104</v>
      </c>
      <c r="N87" t="s">
        <v>43</v>
      </c>
      <c r="O87" t="str">
        <f t="shared" si="1"/>
        <v>Ok</v>
      </c>
      <c r="P87">
        <f>VLOOKUP(G87, Supplier_Info!$A$1:$D$5, 2, FALSE)</f>
        <v>88</v>
      </c>
      <c r="Q87" t="str">
        <f>VLOOKUP(G87, Supplier_Info!$A$1:$D$5, 4, FALSE)</f>
        <v>Preferred</v>
      </c>
    </row>
    <row r="88" spans="1:17" x14ac:dyDescent="0.35">
      <c r="A88">
        <v>87</v>
      </c>
      <c r="B88" t="s">
        <v>117</v>
      </c>
      <c r="C88" t="s">
        <v>42</v>
      </c>
      <c r="D88" t="s">
        <v>23</v>
      </c>
      <c r="E88" t="s">
        <v>17</v>
      </c>
      <c r="F88" t="s">
        <v>18</v>
      </c>
      <c r="G88" t="s">
        <v>51</v>
      </c>
      <c r="H88">
        <v>214</v>
      </c>
      <c r="I88">
        <v>119.91</v>
      </c>
      <c r="J88">
        <v>199.2</v>
      </c>
      <c r="K88">
        <v>6</v>
      </c>
      <c r="L88">
        <v>38</v>
      </c>
      <c r="M88">
        <v>140</v>
      </c>
      <c r="N88" t="s">
        <v>20</v>
      </c>
      <c r="O88" t="str">
        <f t="shared" si="1"/>
        <v>Reorder Now</v>
      </c>
      <c r="P88">
        <f>VLOOKUP(G88, Supplier_Info!$A$1:$D$5, 2, FALSE)</f>
        <v>92</v>
      </c>
      <c r="Q88" t="str">
        <f>VLOOKUP(G88, Supplier_Info!$A$1:$D$5, 4, FALSE)</f>
        <v>Preferred</v>
      </c>
    </row>
    <row r="89" spans="1:17" x14ac:dyDescent="0.35">
      <c r="A89">
        <v>88</v>
      </c>
      <c r="B89" t="s">
        <v>64</v>
      </c>
      <c r="C89" t="s">
        <v>107</v>
      </c>
      <c r="D89" t="s">
        <v>50</v>
      </c>
      <c r="E89" t="s">
        <v>27</v>
      </c>
      <c r="F89" t="s">
        <v>32</v>
      </c>
      <c r="G89" t="s">
        <v>51</v>
      </c>
      <c r="H89">
        <v>278</v>
      </c>
      <c r="I89">
        <v>23.86</v>
      </c>
      <c r="J89">
        <v>41.19</v>
      </c>
      <c r="K89">
        <v>14</v>
      </c>
      <c r="L89">
        <v>488</v>
      </c>
      <c r="M89">
        <v>101</v>
      </c>
      <c r="N89" t="s">
        <v>43</v>
      </c>
      <c r="O89" t="str">
        <f t="shared" si="1"/>
        <v>Ok</v>
      </c>
      <c r="P89">
        <f>VLOOKUP(G89, Supplier_Info!$A$1:$D$5, 2, FALSE)</f>
        <v>92</v>
      </c>
      <c r="Q89" t="str">
        <f>VLOOKUP(G89, Supplier_Info!$A$1:$D$5, 4, FALSE)</f>
        <v>Preferred</v>
      </c>
    </row>
    <row r="90" spans="1:17" x14ac:dyDescent="0.35">
      <c r="A90">
        <v>89</v>
      </c>
      <c r="B90" t="s">
        <v>132</v>
      </c>
      <c r="C90" t="s">
        <v>15</v>
      </c>
      <c r="D90" t="s">
        <v>16</v>
      </c>
      <c r="E90" t="s">
        <v>17</v>
      </c>
      <c r="F90" t="s">
        <v>32</v>
      </c>
      <c r="G90" t="s">
        <v>51</v>
      </c>
      <c r="H90">
        <v>152</v>
      </c>
      <c r="I90">
        <v>191.66</v>
      </c>
      <c r="J90">
        <v>309.64</v>
      </c>
      <c r="K90">
        <v>9</v>
      </c>
      <c r="L90">
        <v>382</v>
      </c>
      <c r="M90">
        <v>43</v>
      </c>
      <c r="N90" t="s">
        <v>43</v>
      </c>
      <c r="O90" t="str">
        <f t="shared" si="1"/>
        <v>Ok</v>
      </c>
      <c r="P90">
        <f>VLOOKUP(G90, Supplier_Info!$A$1:$D$5, 2, FALSE)</f>
        <v>92</v>
      </c>
      <c r="Q90" t="str">
        <f>VLOOKUP(G90, Supplier_Info!$A$1:$D$5, 4, FALSE)</f>
        <v>Preferred</v>
      </c>
    </row>
    <row r="91" spans="1:17" x14ac:dyDescent="0.35">
      <c r="A91">
        <v>90</v>
      </c>
      <c r="B91" t="s">
        <v>133</v>
      </c>
      <c r="C91" t="s">
        <v>72</v>
      </c>
      <c r="D91" t="s">
        <v>35</v>
      </c>
      <c r="E91" t="s">
        <v>24</v>
      </c>
      <c r="F91" t="s">
        <v>18</v>
      </c>
      <c r="G91" t="s">
        <v>19</v>
      </c>
      <c r="H91">
        <v>158</v>
      </c>
      <c r="I91">
        <v>147.30000000000001</v>
      </c>
      <c r="J91">
        <v>203.74</v>
      </c>
      <c r="K91">
        <v>2</v>
      </c>
      <c r="L91">
        <v>23</v>
      </c>
      <c r="M91">
        <v>103</v>
      </c>
      <c r="N91" t="s">
        <v>20</v>
      </c>
      <c r="O91" t="str">
        <f t="shared" si="1"/>
        <v>Reorder Now</v>
      </c>
      <c r="P91">
        <f>VLOOKUP(G91, Supplier_Info!$A$1:$D$5, 2, FALSE)</f>
        <v>78</v>
      </c>
      <c r="Q91" t="str">
        <f>VLOOKUP(G91, Supplier_Info!$A$1:$D$5, 4, FALSE)</f>
        <v>Standard</v>
      </c>
    </row>
    <row r="92" spans="1:17" x14ac:dyDescent="0.35">
      <c r="A92">
        <v>91</v>
      </c>
      <c r="B92" t="s">
        <v>134</v>
      </c>
      <c r="C92" t="s">
        <v>15</v>
      </c>
      <c r="D92" t="s">
        <v>16</v>
      </c>
      <c r="E92" t="s">
        <v>24</v>
      </c>
      <c r="F92" t="s">
        <v>32</v>
      </c>
      <c r="G92" t="s">
        <v>19</v>
      </c>
      <c r="H92">
        <v>294</v>
      </c>
      <c r="I92">
        <v>191.66</v>
      </c>
      <c r="J92">
        <v>300.06</v>
      </c>
      <c r="K92">
        <v>7</v>
      </c>
      <c r="L92">
        <v>87</v>
      </c>
      <c r="M92">
        <v>64</v>
      </c>
      <c r="N92" t="s">
        <v>20</v>
      </c>
      <c r="O92" t="str">
        <f t="shared" si="1"/>
        <v>Ok</v>
      </c>
      <c r="P92">
        <f>VLOOKUP(G92, Supplier_Info!$A$1:$D$5, 2, FALSE)</f>
        <v>78</v>
      </c>
      <c r="Q92" t="str">
        <f>VLOOKUP(G92, Supplier_Info!$A$1:$D$5, 4, FALSE)</f>
        <v>Standard</v>
      </c>
    </row>
    <row r="93" spans="1:17" x14ac:dyDescent="0.35">
      <c r="A93">
        <v>92</v>
      </c>
      <c r="B93" t="s">
        <v>135</v>
      </c>
      <c r="C93" t="s">
        <v>98</v>
      </c>
      <c r="D93" t="s">
        <v>35</v>
      </c>
      <c r="E93" t="s">
        <v>27</v>
      </c>
      <c r="F93" t="s">
        <v>18</v>
      </c>
      <c r="G93" t="s">
        <v>29</v>
      </c>
      <c r="H93">
        <v>78</v>
      </c>
      <c r="I93">
        <v>109.56</v>
      </c>
      <c r="J93">
        <v>192.43</v>
      </c>
      <c r="K93">
        <v>9</v>
      </c>
      <c r="L93">
        <v>236</v>
      </c>
      <c r="M93">
        <v>85</v>
      </c>
      <c r="N93" t="s">
        <v>20</v>
      </c>
      <c r="O93" t="str">
        <f t="shared" si="1"/>
        <v>Ok</v>
      </c>
      <c r="P93">
        <f>VLOOKUP(G93, Supplier_Info!$A$1:$D$5, 2, FALSE)</f>
        <v>65</v>
      </c>
      <c r="Q93" t="str">
        <f>VLOOKUP(G93, Supplier_Info!$A$1:$D$5, 4, FALSE)</f>
        <v>Standard</v>
      </c>
    </row>
    <row r="94" spans="1:17" x14ac:dyDescent="0.35">
      <c r="A94">
        <v>93</v>
      </c>
      <c r="B94" t="s">
        <v>71</v>
      </c>
      <c r="C94" t="s">
        <v>26</v>
      </c>
      <c r="D94" t="s">
        <v>16</v>
      </c>
      <c r="E94" t="s">
        <v>24</v>
      </c>
      <c r="F94" t="s">
        <v>32</v>
      </c>
      <c r="G94" t="s">
        <v>29</v>
      </c>
      <c r="H94">
        <v>42</v>
      </c>
      <c r="I94">
        <v>173.03</v>
      </c>
      <c r="J94">
        <v>272.23</v>
      </c>
      <c r="K94">
        <v>16</v>
      </c>
      <c r="L94">
        <v>483</v>
      </c>
      <c r="M94">
        <v>108</v>
      </c>
      <c r="N94" t="s">
        <v>20</v>
      </c>
      <c r="O94" t="str">
        <f t="shared" si="1"/>
        <v>Ok</v>
      </c>
      <c r="P94">
        <f>VLOOKUP(G94, Supplier_Info!$A$1:$D$5, 2, FALSE)</f>
        <v>65</v>
      </c>
      <c r="Q94" t="str">
        <f>VLOOKUP(G94, Supplier_Info!$A$1:$D$5, 4, FALSE)</f>
        <v>Standard</v>
      </c>
    </row>
    <row r="95" spans="1:17" x14ac:dyDescent="0.35">
      <c r="A95">
        <v>94</v>
      </c>
      <c r="B95" t="s">
        <v>104</v>
      </c>
      <c r="C95" t="s">
        <v>72</v>
      </c>
      <c r="D95" t="s">
        <v>35</v>
      </c>
      <c r="E95" t="s">
        <v>17</v>
      </c>
      <c r="F95" t="s">
        <v>18</v>
      </c>
      <c r="G95" t="s">
        <v>29</v>
      </c>
      <c r="H95">
        <v>106</v>
      </c>
      <c r="I95">
        <v>147.30000000000001</v>
      </c>
      <c r="J95">
        <v>253.75</v>
      </c>
      <c r="K95">
        <v>14</v>
      </c>
      <c r="L95">
        <v>436</v>
      </c>
      <c r="M95">
        <v>143</v>
      </c>
      <c r="N95" t="s">
        <v>20</v>
      </c>
      <c r="O95" t="str">
        <f t="shared" si="1"/>
        <v>Ok</v>
      </c>
      <c r="P95">
        <f>VLOOKUP(G95, Supplier_Info!$A$1:$D$5, 2, FALSE)</f>
        <v>65</v>
      </c>
      <c r="Q95" t="str">
        <f>VLOOKUP(G95, Supplier_Info!$A$1:$D$5, 4, FALSE)</f>
        <v>Standard</v>
      </c>
    </row>
    <row r="96" spans="1:17" x14ac:dyDescent="0.35">
      <c r="A96">
        <v>95</v>
      </c>
      <c r="B96" t="s">
        <v>136</v>
      </c>
      <c r="C96" t="s">
        <v>49</v>
      </c>
      <c r="D96" t="s">
        <v>50</v>
      </c>
      <c r="E96" t="s">
        <v>24</v>
      </c>
      <c r="F96" t="s">
        <v>28</v>
      </c>
      <c r="G96" t="s">
        <v>29</v>
      </c>
      <c r="H96">
        <v>207</v>
      </c>
      <c r="I96">
        <v>117.58</v>
      </c>
      <c r="J96">
        <v>170.21</v>
      </c>
      <c r="K96">
        <v>10</v>
      </c>
      <c r="L96">
        <v>4</v>
      </c>
      <c r="M96">
        <v>32</v>
      </c>
      <c r="N96" t="s">
        <v>43</v>
      </c>
      <c r="O96" t="str">
        <f t="shared" si="1"/>
        <v>Reorder Now</v>
      </c>
      <c r="P96">
        <f>VLOOKUP(G96, Supplier_Info!$A$1:$D$5, 2, FALSE)</f>
        <v>65</v>
      </c>
      <c r="Q96" t="str">
        <f>VLOOKUP(G96, Supplier_Info!$A$1:$D$5, 4, FALSE)</f>
        <v>Standard</v>
      </c>
    </row>
    <row r="97" spans="1:17" x14ac:dyDescent="0.35">
      <c r="A97">
        <v>96</v>
      </c>
      <c r="B97" t="s">
        <v>137</v>
      </c>
      <c r="C97" t="s">
        <v>15</v>
      </c>
      <c r="D97" t="s">
        <v>16</v>
      </c>
      <c r="E97" t="s">
        <v>24</v>
      </c>
      <c r="F97" t="s">
        <v>28</v>
      </c>
      <c r="G97" t="s">
        <v>29</v>
      </c>
      <c r="H97">
        <v>133</v>
      </c>
      <c r="I97">
        <v>191.66</v>
      </c>
      <c r="J97">
        <v>310.17</v>
      </c>
      <c r="K97">
        <v>6</v>
      </c>
      <c r="L97">
        <v>321</v>
      </c>
      <c r="M97">
        <v>44</v>
      </c>
      <c r="N97" t="s">
        <v>20</v>
      </c>
      <c r="O97" t="str">
        <f t="shared" si="1"/>
        <v>Ok</v>
      </c>
      <c r="P97">
        <f>VLOOKUP(G97, Supplier_Info!$A$1:$D$5, 2, FALSE)</f>
        <v>65</v>
      </c>
      <c r="Q97" t="str">
        <f>VLOOKUP(G97, Supplier_Info!$A$1:$D$5, 4, FALSE)</f>
        <v>Standard</v>
      </c>
    </row>
    <row r="98" spans="1:17" x14ac:dyDescent="0.35">
      <c r="A98">
        <v>97</v>
      </c>
      <c r="B98" t="s">
        <v>138</v>
      </c>
      <c r="C98" t="s">
        <v>34</v>
      </c>
      <c r="D98" t="s">
        <v>35</v>
      </c>
      <c r="E98" t="s">
        <v>17</v>
      </c>
      <c r="F98" t="s">
        <v>18</v>
      </c>
      <c r="G98" t="s">
        <v>29</v>
      </c>
      <c r="H98">
        <v>156</v>
      </c>
      <c r="I98">
        <v>142.38999999999999</v>
      </c>
      <c r="J98">
        <v>194.46</v>
      </c>
      <c r="K98">
        <v>12</v>
      </c>
      <c r="L98">
        <v>382</v>
      </c>
      <c r="M98">
        <v>126</v>
      </c>
      <c r="N98" t="s">
        <v>20</v>
      </c>
      <c r="O98" t="str">
        <f t="shared" si="1"/>
        <v>Ok</v>
      </c>
      <c r="P98">
        <f>VLOOKUP(G98, Supplier_Info!$A$1:$D$5, 2, FALSE)</f>
        <v>65</v>
      </c>
      <c r="Q98" t="str">
        <f>VLOOKUP(G98, Supplier_Info!$A$1:$D$5, 4, FALSE)</f>
        <v>Standard</v>
      </c>
    </row>
    <row r="99" spans="1:17" x14ac:dyDescent="0.35">
      <c r="A99">
        <v>98</v>
      </c>
      <c r="B99" t="s">
        <v>139</v>
      </c>
      <c r="C99" t="s">
        <v>76</v>
      </c>
      <c r="D99" t="s">
        <v>35</v>
      </c>
      <c r="E99" t="s">
        <v>27</v>
      </c>
      <c r="F99" t="s">
        <v>28</v>
      </c>
      <c r="G99" t="s">
        <v>19</v>
      </c>
      <c r="H99">
        <v>251</v>
      </c>
      <c r="I99">
        <v>71.349999999999994</v>
      </c>
      <c r="J99">
        <v>101.92</v>
      </c>
      <c r="K99">
        <v>11</v>
      </c>
      <c r="L99">
        <v>382</v>
      </c>
      <c r="M99">
        <v>106</v>
      </c>
      <c r="N99" t="s">
        <v>20</v>
      </c>
      <c r="O99" t="str">
        <f t="shared" si="1"/>
        <v>Ok</v>
      </c>
      <c r="P99">
        <f>VLOOKUP(G99, Supplier_Info!$A$1:$D$5, 2, FALSE)</f>
        <v>78</v>
      </c>
      <c r="Q99" t="str">
        <f>VLOOKUP(G99, Supplier_Info!$A$1:$D$5, 4, FALSE)</f>
        <v>Standard</v>
      </c>
    </row>
    <row r="100" spans="1:17" x14ac:dyDescent="0.35">
      <c r="A100">
        <v>99</v>
      </c>
      <c r="B100" t="s">
        <v>140</v>
      </c>
      <c r="C100" t="s">
        <v>26</v>
      </c>
      <c r="D100" t="s">
        <v>16</v>
      </c>
      <c r="E100" t="s">
        <v>17</v>
      </c>
      <c r="F100" t="s">
        <v>28</v>
      </c>
      <c r="G100" t="s">
        <v>40</v>
      </c>
      <c r="H100">
        <v>208</v>
      </c>
      <c r="I100">
        <v>173.03</v>
      </c>
      <c r="J100">
        <v>287.58999999999997</v>
      </c>
      <c r="K100">
        <v>19</v>
      </c>
      <c r="L100">
        <v>187</v>
      </c>
      <c r="M100">
        <v>43</v>
      </c>
      <c r="N100" t="s">
        <v>20</v>
      </c>
      <c r="O100" t="str">
        <f t="shared" si="1"/>
        <v>Ok</v>
      </c>
      <c r="P100">
        <f>VLOOKUP(G100, Supplier_Info!$A$1:$D$5, 2, FALSE)</f>
        <v>88</v>
      </c>
      <c r="Q100" t="str">
        <f>VLOOKUP(G100, Supplier_Info!$A$1:$D$5, 4, FALSE)</f>
        <v>Preferred</v>
      </c>
    </row>
    <row r="101" spans="1:17" x14ac:dyDescent="0.35">
      <c r="A101">
        <v>100</v>
      </c>
      <c r="B101" t="s">
        <v>141</v>
      </c>
      <c r="C101" t="s">
        <v>22</v>
      </c>
      <c r="D101" t="s">
        <v>23</v>
      </c>
      <c r="E101" t="s">
        <v>24</v>
      </c>
      <c r="F101" t="s">
        <v>28</v>
      </c>
      <c r="G101" t="s">
        <v>29</v>
      </c>
      <c r="H101">
        <v>139</v>
      </c>
      <c r="I101">
        <v>170.26</v>
      </c>
      <c r="J101">
        <v>278.62</v>
      </c>
      <c r="K101">
        <v>20</v>
      </c>
      <c r="L101">
        <v>195</v>
      </c>
      <c r="M101">
        <v>115</v>
      </c>
      <c r="N101" t="s">
        <v>20</v>
      </c>
      <c r="O101" t="str">
        <f t="shared" si="1"/>
        <v>Ok</v>
      </c>
      <c r="P101">
        <f>VLOOKUP(G101, Supplier_Info!$A$1:$D$5, 2, FALSE)</f>
        <v>65</v>
      </c>
      <c r="Q101" t="str">
        <f>VLOOKUP(G101, Supplier_Info!$A$1:$D$5, 4, FALSE)</f>
        <v>Standard</v>
      </c>
    </row>
    <row r="102" spans="1:17" x14ac:dyDescent="0.35">
      <c r="A102">
        <v>101</v>
      </c>
      <c r="B102" t="s">
        <v>142</v>
      </c>
      <c r="C102" t="s">
        <v>68</v>
      </c>
      <c r="D102" t="s">
        <v>16</v>
      </c>
      <c r="E102" t="s">
        <v>27</v>
      </c>
      <c r="F102" t="s">
        <v>28</v>
      </c>
      <c r="G102" t="s">
        <v>29</v>
      </c>
      <c r="H102">
        <v>37</v>
      </c>
      <c r="I102">
        <v>166.73</v>
      </c>
      <c r="J102">
        <v>235.2</v>
      </c>
      <c r="K102">
        <v>16</v>
      </c>
      <c r="L102">
        <v>465</v>
      </c>
      <c r="M102">
        <v>97</v>
      </c>
      <c r="N102" t="s">
        <v>20</v>
      </c>
      <c r="O102" t="str">
        <f t="shared" si="1"/>
        <v>Ok</v>
      </c>
      <c r="P102">
        <f>VLOOKUP(G102, Supplier_Info!$A$1:$D$5, 2, FALSE)</f>
        <v>65</v>
      </c>
      <c r="Q102" t="str">
        <f>VLOOKUP(G102, Supplier_Info!$A$1:$D$5, 4, FALSE)</f>
        <v>Standard</v>
      </c>
    </row>
    <row r="103" spans="1:17" x14ac:dyDescent="0.35">
      <c r="A103">
        <v>102</v>
      </c>
      <c r="B103" t="s">
        <v>143</v>
      </c>
      <c r="C103" t="s">
        <v>98</v>
      </c>
      <c r="D103" t="s">
        <v>35</v>
      </c>
      <c r="E103" t="s">
        <v>17</v>
      </c>
      <c r="F103" t="s">
        <v>32</v>
      </c>
      <c r="G103" t="s">
        <v>40</v>
      </c>
      <c r="H103">
        <v>125</v>
      </c>
      <c r="I103">
        <v>109.56</v>
      </c>
      <c r="J103">
        <v>148.79</v>
      </c>
      <c r="K103">
        <v>19</v>
      </c>
      <c r="L103">
        <v>69</v>
      </c>
      <c r="M103">
        <v>119</v>
      </c>
      <c r="N103" t="s">
        <v>20</v>
      </c>
      <c r="O103" t="str">
        <f t="shared" si="1"/>
        <v>Reorder Now</v>
      </c>
      <c r="P103">
        <f>VLOOKUP(G103, Supplier_Info!$A$1:$D$5, 2, FALSE)</f>
        <v>88</v>
      </c>
      <c r="Q103" t="str">
        <f>VLOOKUP(G103, Supplier_Info!$A$1:$D$5, 4, FALSE)</f>
        <v>Preferred</v>
      </c>
    </row>
    <row r="104" spans="1:17" x14ac:dyDescent="0.35">
      <c r="A104">
        <v>103</v>
      </c>
      <c r="B104" t="s">
        <v>109</v>
      </c>
      <c r="C104" t="s">
        <v>53</v>
      </c>
      <c r="D104" t="s">
        <v>23</v>
      </c>
      <c r="E104" t="s">
        <v>24</v>
      </c>
      <c r="F104" t="s">
        <v>28</v>
      </c>
      <c r="G104" t="s">
        <v>29</v>
      </c>
      <c r="H104">
        <v>84</v>
      </c>
      <c r="I104">
        <v>112.65</v>
      </c>
      <c r="J104">
        <v>188.25</v>
      </c>
      <c r="K104">
        <v>15</v>
      </c>
      <c r="L104">
        <v>335</v>
      </c>
      <c r="M104">
        <v>45</v>
      </c>
      <c r="N104" t="s">
        <v>20</v>
      </c>
      <c r="O104" t="str">
        <f t="shared" si="1"/>
        <v>Ok</v>
      </c>
      <c r="P104">
        <f>VLOOKUP(G104, Supplier_Info!$A$1:$D$5, 2, FALSE)</f>
        <v>65</v>
      </c>
      <c r="Q104" t="str">
        <f>VLOOKUP(G104, Supplier_Info!$A$1:$D$5, 4, FALSE)</f>
        <v>Standard</v>
      </c>
    </row>
    <row r="105" spans="1:17" x14ac:dyDescent="0.35">
      <c r="A105">
        <v>104</v>
      </c>
      <c r="B105" t="s">
        <v>144</v>
      </c>
      <c r="C105" t="s">
        <v>31</v>
      </c>
      <c r="D105" t="s">
        <v>23</v>
      </c>
      <c r="E105" t="s">
        <v>24</v>
      </c>
      <c r="F105" t="s">
        <v>28</v>
      </c>
      <c r="G105" t="s">
        <v>51</v>
      </c>
      <c r="H105">
        <v>125</v>
      </c>
      <c r="I105">
        <v>35.32</v>
      </c>
      <c r="J105">
        <v>53.75</v>
      </c>
      <c r="K105">
        <v>13</v>
      </c>
      <c r="L105">
        <v>50</v>
      </c>
      <c r="M105">
        <v>114</v>
      </c>
      <c r="N105" t="s">
        <v>20</v>
      </c>
      <c r="O105" t="str">
        <f t="shared" si="1"/>
        <v>Reorder Now</v>
      </c>
      <c r="P105">
        <f>VLOOKUP(G105, Supplier_Info!$A$1:$D$5, 2, FALSE)</f>
        <v>92</v>
      </c>
      <c r="Q105" t="str">
        <f>VLOOKUP(G105, Supplier_Info!$A$1:$D$5, 4, FALSE)</f>
        <v>Preferred</v>
      </c>
    </row>
    <row r="106" spans="1:17" x14ac:dyDescent="0.35">
      <c r="A106">
        <v>105</v>
      </c>
      <c r="B106" t="s">
        <v>60</v>
      </c>
      <c r="C106" t="s">
        <v>72</v>
      </c>
      <c r="D106" t="s">
        <v>35</v>
      </c>
      <c r="E106" t="s">
        <v>27</v>
      </c>
      <c r="F106" t="s">
        <v>28</v>
      </c>
      <c r="G106" t="s">
        <v>19</v>
      </c>
      <c r="H106">
        <v>113</v>
      </c>
      <c r="I106">
        <v>147.30000000000001</v>
      </c>
      <c r="J106">
        <v>198.24</v>
      </c>
      <c r="K106">
        <v>21</v>
      </c>
      <c r="L106">
        <v>497</v>
      </c>
      <c r="M106">
        <v>25</v>
      </c>
      <c r="N106" t="s">
        <v>43</v>
      </c>
      <c r="O106" t="str">
        <f t="shared" si="1"/>
        <v>Ok</v>
      </c>
      <c r="P106">
        <f>VLOOKUP(G106, Supplier_Info!$A$1:$D$5, 2, FALSE)</f>
        <v>78</v>
      </c>
      <c r="Q106" t="str">
        <f>VLOOKUP(G106, Supplier_Info!$A$1:$D$5, 4, FALSE)</f>
        <v>Standard</v>
      </c>
    </row>
    <row r="107" spans="1:17" x14ac:dyDescent="0.35">
      <c r="A107">
        <v>106</v>
      </c>
      <c r="B107" t="s">
        <v>145</v>
      </c>
      <c r="C107" t="s">
        <v>88</v>
      </c>
      <c r="D107" t="s">
        <v>89</v>
      </c>
      <c r="E107" t="s">
        <v>27</v>
      </c>
      <c r="F107" t="s">
        <v>32</v>
      </c>
      <c r="G107" t="s">
        <v>51</v>
      </c>
      <c r="H107">
        <v>288</v>
      </c>
      <c r="I107">
        <v>6.27</v>
      </c>
      <c r="J107">
        <v>10.75</v>
      </c>
      <c r="K107">
        <v>8</v>
      </c>
      <c r="L107">
        <v>300</v>
      </c>
      <c r="M107">
        <v>75</v>
      </c>
      <c r="N107" t="s">
        <v>20</v>
      </c>
      <c r="O107" t="str">
        <f t="shared" si="1"/>
        <v>Ok</v>
      </c>
      <c r="P107">
        <f>VLOOKUP(G107, Supplier_Info!$A$1:$D$5, 2, FALSE)</f>
        <v>92</v>
      </c>
      <c r="Q107" t="str">
        <f>VLOOKUP(G107, Supplier_Info!$A$1:$D$5, 4, FALSE)</f>
        <v>Preferred</v>
      </c>
    </row>
    <row r="108" spans="1:17" x14ac:dyDescent="0.35">
      <c r="A108">
        <v>107</v>
      </c>
      <c r="B108" t="s">
        <v>138</v>
      </c>
      <c r="C108" t="s">
        <v>61</v>
      </c>
      <c r="D108" t="s">
        <v>23</v>
      </c>
      <c r="E108" t="s">
        <v>27</v>
      </c>
      <c r="F108" t="s">
        <v>28</v>
      </c>
      <c r="G108" t="s">
        <v>51</v>
      </c>
      <c r="H108">
        <v>79</v>
      </c>
      <c r="I108">
        <v>70.64</v>
      </c>
      <c r="J108">
        <v>122.15</v>
      </c>
      <c r="K108">
        <v>6</v>
      </c>
      <c r="L108">
        <v>276</v>
      </c>
      <c r="M108">
        <v>84</v>
      </c>
      <c r="N108" t="s">
        <v>20</v>
      </c>
      <c r="O108" t="str">
        <f t="shared" si="1"/>
        <v>Ok</v>
      </c>
      <c r="P108">
        <f>VLOOKUP(G108, Supplier_Info!$A$1:$D$5, 2, FALSE)</f>
        <v>92</v>
      </c>
      <c r="Q108" t="str">
        <f>VLOOKUP(G108, Supplier_Info!$A$1:$D$5, 4, FALSE)</f>
        <v>Preferred</v>
      </c>
    </row>
    <row r="109" spans="1:17" x14ac:dyDescent="0.35">
      <c r="A109">
        <v>108</v>
      </c>
      <c r="B109" t="s">
        <v>138</v>
      </c>
      <c r="C109" t="s">
        <v>22</v>
      </c>
      <c r="D109" t="s">
        <v>23</v>
      </c>
      <c r="E109" t="s">
        <v>27</v>
      </c>
      <c r="F109" t="s">
        <v>32</v>
      </c>
      <c r="G109" t="s">
        <v>40</v>
      </c>
      <c r="H109">
        <v>126</v>
      </c>
      <c r="I109">
        <v>170.26</v>
      </c>
      <c r="J109">
        <v>288.58999999999997</v>
      </c>
      <c r="K109">
        <v>20</v>
      </c>
      <c r="L109">
        <v>165</v>
      </c>
      <c r="M109">
        <v>24</v>
      </c>
      <c r="N109" t="s">
        <v>20</v>
      </c>
      <c r="O109" t="str">
        <f t="shared" si="1"/>
        <v>Ok</v>
      </c>
      <c r="P109">
        <f>VLOOKUP(G109, Supplier_Info!$A$1:$D$5, 2, FALSE)</f>
        <v>88</v>
      </c>
      <c r="Q109" t="str">
        <f>VLOOKUP(G109, Supplier_Info!$A$1:$D$5, 4, FALSE)</f>
        <v>Preferred</v>
      </c>
    </row>
    <row r="110" spans="1:17" x14ac:dyDescent="0.35">
      <c r="A110">
        <v>109</v>
      </c>
      <c r="B110" t="s">
        <v>146</v>
      </c>
      <c r="C110" t="s">
        <v>55</v>
      </c>
      <c r="D110" t="s">
        <v>16</v>
      </c>
      <c r="E110" t="s">
        <v>24</v>
      </c>
      <c r="F110" t="s">
        <v>32</v>
      </c>
      <c r="G110" t="s">
        <v>19</v>
      </c>
      <c r="H110">
        <v>37</v>
      </c>
      <c r="I110">
        <v>194.76</v>
      </c>
      <c r="J110">
        <v>264.26</v>
      </c>
      <c r="K110">
        <v>17</v>
      </c>
      <c r="L110">
        <v>229</v>
      </c>
      <c r="M110">
        <v>112</v>
      </c>
      <c r="N110" t="s">
        <v>20</v>
      </c>
      <c r="O110" t="str">
        <f t="shared" si="1"/>
        <v>Ok</v>
      </c>
      <c r="P110">
        <f>VLOOKUP(G110, Supplier_Info!$A$1:$D$5, 2, FALSE)</f>
        <v>78</v>
      </c>
      <c r="Q110" t="str">
        <f>VLOOKUP(G110, Supplier_Info!$A$1:$D$5, 4, FALSE)</f>
        <v>Standard</v>
      </c>
    </row>
    <row r="111" spans="1:17" x14ac:dyDescent="0.35">
      <c r="A111">
        <v>110</v>
      </c>
      <c r="B111" t="s">
        <v>147</v>
      </c>
      <c r="C111" t="s">
        <v>68</v>
      </c>
      <c r="D111" t="s">
        <v>16</v>
      </c>
      <c r="E111" t="s">
        <v>24</v>
      </c>
      <c r="F111" t="s">
        <v>18</v>
      </c>
      <c r="G111" t="s">
        <v>51</v>
      </c>
      <c r="H111">
        <v>271</v>
      </c>
      <c r="I111">
        <v>166.73</v>
      </c>
      <c r="J111">
        <v>220.36</v>
      </c>
      <c r="K111">
        <v>11</v>
      </c>
      <c r="L111">
        <v>234</v>
      </c>
      <c r="M111">
        <v>27</v>
      </c>
      <c r="N111" t="s">
        <v>43</v>
      </c>
      <c r="O111" t="str">
        <f t="shared" si="1"/>
        <v>Ok</v>
      </c>
      <c r="P111">
        <f>VLOOKUP(G111, Supplier_Info!$A$1:$D$5, 2, FALSE)</f>
        <v>92</v>
      </c>
      <c r="Q111" t="str">
        <f>VLOOKUP(G111, Supplier_Info!$A$1:$D$5, 4, FALSE)</f>
        <v>Preferred</v>
      </c>
    </row>
    <row r="112" spans="1:17" x14ac:dyDescent="0.35">
      <c r="A112">
        <v>111</v>
      </c>
      <c r="B112" t="s">
        <v>148</v>
      </c>
      <c r="C112" t="s">
        <v>98</v>
      </c>
      <c r="D112" t="s">
        <v>35</v>
      </c>
      <c r="E112" t="s">
        <v>27</v>
      </c>
      <c r="F112" t="s">
        <v>28</v>
      </c>
      <c r="G112" t="s">
        <v>29</v>
      </c>
      <c r="H112">
        <v>232</v>
      </c>
      <c r="I112">
        <v>109.56</v>
      </c>
      <c r="J112">
        <v>181.45</v>
      </c>
      <c r="K112">
        <v>4</v>
      </c>
      <c r="L112">
        <v>460</v>
      </c>
      <c r="M112">
        <v>40</v>
      </c>
      <c r="N112" t="s">
        <v>20</v>
      </c>
      <c r="O112" t="str">
        <f t="shared" si="1"/>
        <v>Ok</v>
      </c>
      <c r="P112">
        <f>VLOOKUP(G112, Supplier_Info!$A$1:$D$5, 2, FALSE)</f>
        <v>65</v>
      </c>
      <c r="Q112" t="str">
        <f>VLOOKUP(G112, Supplier_Info!$A$1:$D$5, 4, FALSE)</f>
        <v>Standard</v>
      </c>
    </row>
    <row r="113" spans="1:17" x14ac:dyDescent="0.35">
      <c r="A113">
        <v>112</v>
      </c>
      <c r="B113" t="s">
        <v>143</v>
      </c>
      <c r="C113" t="s">
        <v>68</v>
      </c>
      <c r="D113" t="s">
        <v>16</v>
      </c>
      <c r="E113" t="s">
        <v>24</v>
      </c>
      <c r="F113" t="s">
        <v>28</v>
      </c>
      <c r="G113" t="s">
        <v>51</v>
      </c>
      <c r="H113">
        <v>285</v>
      </c>
      <c r="I113">
        <v>166.73</v>
      </c>
      <c r="J113">
        <v>269.52999999999997</v>
      </c>
      <c r="K113">
        <v>12</v>
      </c>
      <c r="L113">
        <v>195</v>
      </c>
      <c r="M113">
        <v>95</v>
      </c>
      <c r="N113" t="s">
        <v>20</v>
      </c>
      <c r="O113" t="str">
        <f t="shared" si="1"/>
        <v>Ok</v>
      </c>
      <c r="P113">
        <f>VLOOKUP(G113, Supplier_Info!$A$1:$D$5, 2, FALSE)</f>
        <v>92</v>
      </c>
      <c r="Q113" t="str">
        <f>VLOOKUP(G113, Supplier_Info!$A$1:$D$5, 4, FALSE)</f>
        <v>Preferred</v>
      </c>
    </row>
    <row r="114" spans="1:17" x14ac:dyDescent="0.35">
      <c r="A114">
        <v>113</v>
      </c>
      <c r="B114" t="s">
        <v>149</v>
      </c>
      <c r="C114" t="s">
        <v>37</v>
      </c>
      <c r="D114" t="s">
        <v>35</v>
      </c>
      <c r="E114" t="s">
        <v>24</v>
      </c>
      <c r="F114" t="s">
        <v>18</v>
      </c>
      <c r="G114" t="s">
        <v>40</v>
      </c>
      <c r="H114">
        <v>287</v>
      </c>
      <c r="I114">
        <v>125.61</v>
      </c>
      <c r="J114">
        <v>204.17</v>
      </c>
      <c r="K114">
        <v>8</v>
      </c>
      <c r="L114">
        <v>220</v>
      </c>
      <c r="M114">
        <v>135</v>
      </c>
      <c r="N114" t="s">
        <v>20</v>
      </c>
      <c r="O114" t="str">
        <f t="shared" si="1"/>
        <v>Ok</v>
      </c>
      <c r="P114">
        <f>VLOOKUP(G114, Supplier_Info!$A$1:$D$5, 2, FALSE)</f>
        <v>88</v>
      </c>
      <c r="Q114" t="str">
        <f>VLOOKUP(G114, Supplier_Info!$A$1:$D$5, 4, FALSE)</f>
        <v>Preferred</v>
      </c>
    </row>
    <row r="115" spans="1:17" x14ac:dyDescent="0.35">
      <c r="A115">
        <v>114</v>
      </c>
      <c r="B115" t="s">
        <v>150</v>
      </c>
      <c r="C115" t="s">
        <v>34</v>
      </c>
      <c r="D115" t="s">
        <v>35</v>
      </c>
      <c r="E115" t="s">
        <v>17</v>
      </c>
      <c r="F115" t="s">
        <v>18</v>
      </c>
      <c r="G115" t="s">
        <v>51</v>
      </c>
      <c r="H115">
        <v>223</v>
      </c>
      <c r="I115">
        <v>142.38999999999999</v>
      </c>
      <c r="J115">
        <v>191.88</v>
      </c>
      <c r="K115">
        <v>12</v>
      </c>
      <c r="L115">
        <v>340</v>
      </c>
      <c r="M115">
        <v>85</v>
      </c>
      <c r="N115" t="s">
        <v>43</v>
      </c>
      <c r="O115" t="str">
        <f t="shared" si="1"/>
        <v>Ok</v>
      </c>
      <c r="P115">
        <f>VLOOKUP(G115, Supplier_Info!$A$1:$D$5, 2, FALSE)</f>
        <v>92</v>
      </c>
      <c r="Q115" t="str">
        <f>VLOOKUP(G115, Supplier_Info!$A$1:$D$5, 4, FALSE)</f>
        <v>Preferred</v>
      </c>
    </row>
    <row r="116" spans="1:17" x14ac:dyDescent="0.35">
      <c r="A116">
        <v>115</v>
      </c>
      <c r="B116" t="s">
        <v>151</v>
      </c>
      <c r="C116" t="s">
        <v>88</v>
      </c>
      <c r="D116" t="s">
        <v>89</v>
      </c>
      <c r="E116" t="s">
        <v>17</v>
      </c>
      <c r="F116" t="s">
        <v>32</v>
      </c>
      <c r="G116" t="s">
        <v>29</v>
      </c>
      <c r="H116">
        <v>52</v>
      </c>
      <c r="I116">
        <v>6.27</v>
      </c>
      <c r="J116">
        <v>10.76</v>
      </c>
      <c r="K116">
        <v>15</v>
      </c>
      <c r="L116">
        <v>49</v>
      </c>
      <c r="M116">
        <v>115</v>
      </c>
      <c r="N116" t="s">
        <v>20</v>
      </c>
      <c r="O116" t="str">
        <f t="shared" si="1"/>
        <v>Reorder Now</v>
      </c>
      <c r="P116">
        <f>VLOOKUP(G116, Supplier_Info!$A$1:$D$5, 2, FALSE)</f>
        <v>65</v>
      </c>
      <c r="Q116" t="str">
        <f>VLOOKUP(G116, Supplier_Info!$A$1:$D$5, 4, FALSE)</f>
        <v>Standard</v>
      </c>
    </row>
    <row r="117" spans="1:17" x14ac:dyDescent="0.35">
      <c r="A117">
        <v>116</v>
      </c>
      <c r="B117" t="s">
        <v>120</v>
      </c>
      <c r="C117" t="s">
        <v>26</v>
      </c>
      <c r="D117" t="s">
        <v>16</v>
      </c>
      <c r="E117" t="s">
        <v>24</v>
      </c>
      <c r="F117" t="s">
        <v>28</v>
      </c>
      <c r="G117" t="s">
        <v>19</v>
      </c>
      <c r="H117">
        <v>186</v>
      </c>
      <c r="I117">
        <v>173.03</v>
      </c>
      <c r="J117">
        <v>235.51</v>
      </c>
      <c r="K117">
        <v>15</v>
      </c>
      <c r="L117">
        <v>444</v>
      </c>
      <c r="M117">
        <v>33</v>
      </c>
      <c r="N117" t="s">
        <v>20</v>
      </c>
      <c r="O117" t="str">
        <f t="shared" si="1"/>
        <v>Ok</v>
      </c>
      <c r="P117">
        <f>VLOOKUP(G117, Supplier_Info!$A$1:$D$5, 2, FALSE)</f>
        <v>78</v>
      </c>
      <c r="Q117" t="str">
        <f>VLOOKUP(G117, Supplier_Info!$A$1:$D$5, 4, FALSE)</f>
        <v>Standard</v>
      </c>
    </row>
    <row r="118" spans="1:17" x14ac:dyDescent="0.35">
      <c r="A118">
        <v>117</v>
      </c>
      <c r="B118" t="s">
        <v>139</v>
      </c>
      <c r="C118" t="s">
        <v>45</v>
      </c>
      <c r="D118" t="s">
        <v>35</v>
      </c>
      <c r="E118" t="s">
        <v>17</v>
      </c>
      <c r="F118" t="s">
        <v>28</v>
      </c>
      <c r="G118" t="s">
        <v>40</v>
      </c>
      <c r="H118">
        <v>119</v>
      </c>
      <c r="I118">
        <v>141.13999999999999</v>
      </c>
      <c r="J118">
        <v>229.83</v>
      </c>
      <c r="K118">
        <v>5</v>
      </c>
      <c r="L118">
        <v>179</v>
      </c>
      <c r="M118">
        <v>114</v>
      </c>
      <c r="N118" t="s">
        <v>20</v>
      </c>
      <c r="O118" t="str">
        <f t="shared" si="1"/>
        <v>Ok</v>
      </c>
      <c r="P118">
        <f>VLOOKUP(G118, Supplier_Info!$A$1:$D$5, 2, FALSE)</f>
        <v>88</v>
      </c>
      <c r="Q118" t="str">
        <f>VLOOKUP(G118, Supplier_Info!$A$1:$D$5, 4, FALSE)</f>
        <v>Preferred</v>
      </c>
    </row>
    <row r="119" spans="1:17" x14ac:dyDescent="0.35">
      <c r="A119">
        <v>118</v>
      </c>
      <c r="B119" t="s">
        <v>152</v>
      </c>
      <c r="C119" t="s">
        <v>39</v>
      </c>
      <c r="D119" t="s">
        <v>16</v>
      </c>
      <c r="E119" t="s">
        <v>17</v>
      </c>
      <c r="F119" t="s">
        <v>18</v>
      </c>
      <c r="G119" t="s">
        <v>29</v>
      </c>
      <c r="H119">
        <v>290</v>
      </c>
      <c r="I119">
        <v>78.81</v>
      </c>
      <c r="J119">
        <v>140.86000000000001</v>
      </c>
      <c r="K119">
        <v>2</v>
      </c>
      <c r="L119">
        <v>311</v>
      </c>
      <c r="M119">
        <v>88</v>
      </c>
      <c r="N119" t="s">
        <v>20</v>
      </c>
      <c r="O119" t="str">
        <f t="shared" si="1"/>
        <v>Ok</v>
      </c>
      <c r="P119">
        <f>VLOOKUP(G119, Supplier_Info!$A$1:$D$5, 2, FALSE)</f>
        <v>65</v>
      </c>
      <c r="Q119" t="str">
        <f>VLOOKUP(G119, Supplier_Info!$A$1:$D$5, 4, FALSE)</f>
        <v>Standard</v>
      </c>
    </row>
    <row r="120" spans="1:17" x14ac:dyDescent="0.35">
      <c r="A120">
        <v>119</v>
      </c>
      <c r="B120" t="s">
        <v>46</v>
      </c>
      <c r="C120" t="s">
        <v>22</v>
      </c>
      <c r="D120" t="s">
        <v>23</v>
      </c>
      <c r="E120" t="s">
        <v>17</v>
      </c>
      <c r="F120" t="s">
        <v>28</v>
      </c>
      <c r="G120" t="s">
        <v>51</v>
      </c>
      <c r="H120">
        <v>78</v>
      </c>
      <c r="I120">
        <v>170.26</v>
      </c>
      <c r="J120">
        <v>221.86</v>
      </c>
      <c r="K120">
        <v>20</v>
      </c>
      <c r="L120">
        <v>336</v>
      </c>
      <c r="M120">
        <v>122</v>
      </c>
      <c r="N120" t="s">
        <v>20</v>
      </c>
      <c r="O120" t="str">
        <f t="shared" si="1"/>
        <v>Ok</v>
      </c>
      <c r="P120">
        <f>VLOOKUP(G120, Supplier_Info!$A$1:$D$5, 2, FALSE)</f>
        <v>92</v>
      </c>
      <c r="Q120" t="str">
        <f>VLOOKUP(G120, Supplier_Info!$A$1:$D$5, 4, FALSE)</f>
        <v>Preferred</v>
      </c>
    </row>
    <row r="121" spans="1:17" x14ac:dyDescent="0.35">
      <c r="A121">
        <v>120</v>
      </c>
      <c r="B121" t="s">
        <v>153</v>
      </c>
      <c r="C121" t="s">
        <v>34</v>
      </c>
      <c r="D121" t="s">
        <v>35</v>
      </c>
      <c r="E121" t="s">
        <v>17</v>
      </c>
      <c r="F121" t="s">
        <v>18</v>
      </c>
      <c r="G121" t="s">
        <v>51</v>
      </c>
      <c r="H121">
        <v>197</v>
      </c>
      <c r="I121">
        <v>142.38999999999999</v>
      </c>
      <c r="J121">
        <v>222.87</v>
      </c>
      <c r="K121">
        <v>15</v>
      </c>
      <c r="L121">
        <v>232</v>
      </c>
      <c r="M121">
        <v>107</v>
      </c>
      <c r="N121" t="s">
        <v>20</v>
      </c>
      <c r="O121" t="str">
        <f t="shared" si="1"/>
        <v>Ok</v>
      </c>
      <c r="P121">
        <f>VLOOKUP(G121, Supplier_Info!$A$1:$D$5, 2, FALSE)</f>
        <v>92</v>
      </c>
      <c r="Q121" t="str">
        <f>VLOOKUP(G121, Supplier_Info!$A$1:$D$5, 4, FALSE)</f>
        <v>Preferred</v>
      </c>
    </row>
    <row r="122" spans="1:17" x14ac:dyDescent="0.35">
      <c r="A122">
        <v>121</v>
      </c>
      <c r="B122" t="s">
        <v>154</v>
      </c>
      <c r="C122" t="s">
        <v>59</v>
      </c>
      <c r="D122" t="s">
        <v>23</v>
      </c>
      <c r="E122" t="s">
        <v>24</v>
      </c>
      <c r="F122" t="s">
        <v>18</v>
      </c>
      <c r="G122" t="s">
        <v>29</v>
      </c>
      <c r="H122">
        <v>30</v>
      </c>
      <c r="I122">
        <v>162.84</v>
      </c>
      <c r="J122">
        <v>224.36</v>
      </c>
      <c r="K122">
        <v>4</v>
      </c>
      <c r="L122">
        <v>139</v>
      </c>
      <c r="M122">
        <v>133</v>
      </c>
      <c r="N122" t="s">
        <v>20</v>
      </c>
      <c r="O122" t="str">
        <f t="shared" si="1"/>
        <v>Ok</v>
      </c>
      <c r="P122">
        <f>VLOOKUP(G122, Supplier_Info!$A$1:$D$5, 2, FALSE)</f>
        <v>65</v>
      </c>
      <c r="Q122" t="str">
        <f>VLOOKUP(G122, Supplier_Info!$A$1:$D$5, 4, FALSE)</f>
        <v>Standard</v>
      </c>
    </row>
    <row r="123" spans="1:17" x14ac:dyDescent="0.35">
      <c r="A123">
        <v>122</v>
      </c>
      <c r="B123" t="s">
        <v>155</v>
      </c>
      <c r="C123" t="s">
        <v>31</v>
      </c>
      <c r="D123" t="s">
        <v>23</v>
      </c>
      <c r="E123" t="s">
        <v>17</v>
      </c>
      <c r="F123" t="s">
        <v>18</v>
      </c>
      <c r="G123" t="s">
        <v>29</v>
      </c>
      <c r="H123">
        <v>63</v>
      </c>
      <c r="I123">
        <v>35.32</v>
      </c>
      <c r="J123">
        <v>59.25</v>
      </c>
      <c r="K123">
        <v>13</v>
      </c>
      <c r="L123">
        <v>220</v>
      </c>
      <c r="M123">
        <v>48</v>
      </c>
      <c r="N123" t="s">
        <v>20</v>
      </c>
      <c r="O123" t="str">
        <f t="shared" si="1"/>
        <v>Ok</v>
      </c>
      <c r="P123">
        <f>VLOOKUP(G123, Supplier_Info!$A$1:$D$5, 2, FALSE)</f>
        <v>65</v>
      </c>
      <c r="Q123" t="str">
        <f>VLOOKUP(G123, Supplier_Info!$A$1:$D$5, 4, FALSE)</f>
        <v>Standard</v>
      </c>
    </row>
    <row r="124" spans="1:17" x14ac:dyDescent="0.35">
      <c r="A124">
        <v>123</v>
      </c>
      <c r="B124" t="s">
        <v>47</v>
      </c>
      <c r="C124" t="s">
        <v>59</v>
      </c>
      <c r="D124" t="s">
        <v>23</v>
      </c>
      <c r="E124" t="s">
        <v>24</v>
      </c>
      <c r="F124" t="s">
        <v>18</v>
      </c>
      <c r="G124" t="s">
        <v>29</v>
      </c>
      <c r="H124">
        <v>33</v>
      </c>
      <c r="I124">
        <v>162.84</v>
      </c>
      <c r="J124">
        <v>229.65</v>
      </c>
      <c r="K124">
        <v>2</v>
      </c>
      <c r="L124">
        <v>104</v>
      </c>
      <c r="M124">
        <v>97</v>
      </c>
      <c r="N124" t="s">
        <v>20</v>
      </c>
      <c r="O124" t="str">
        <f t="shared" si="1"/>
        <v>Ok</v>
      </c>
      <c r="P124">
        <f>VLOOKUP(G124, Supplier_Info!$A$1:$D$5, 2, FALSE)</f>
        <v>65</v>
      </c>
      <c r="Q124" t="str">
        <f>VLOOKUP(G124, Supplier_Info!$A$1:$D$5, 4, FALSE)</f>
        <v>Standard</v>
      </c>
    </row>
    <row r="125" spans="1:17" x14ac:dyDescent="0.35">
      <c r="A125">
        <v>124</v>
      </c>
      <c r="B125" t="s">
        <v>52</v>
      </c>
      <c r="C125" t="s">
        <v>57</v>
      </c>
      <c r="D125" t="s">
        <v>35</v>
      </c>
      <c r="E125" t="s">
        <v>17</v>
      </c>
      <c r="F125" t="s">
        <v>18</v>
      </c>
      <c r="G125" t="s">
        <v>51</v>
      </c>
      <c r="H125">
        <v>225</v>
      </c>
      <c r="I125">
        <v>162.13</v>
      </c>
      <c r="J125">
        <v>211.4</v>
      </c>
      <c r="K125">
        <v>7</v>
      </c>
      <c r="L125">
        <v>66</v>
      </c>
      <c r="M125">
        <v>117</v>
      </c>
      <c r="N125" t="s">
        <v>20</v>
      </c>
      <c r="O125" t="str">
        <f t="shared" si="1"/>
        <v>Reorder Now</v>
      </c>
      <c r="P125">
        <f>VLOOKUP(G125, Supplier_Info!$A$1:$D$5, 2, FALSE)</f>
        <v>92</v>
      </c>
      <c r="Q125" t="str">
        <f>VLOOKUP(G125, Supplier_Info!$A$1:$D$5, 4, FALSE)</f>
        <v>Preferred</v>
      </c>
    </row>
    <row r="126" spans="1:17" x14ac:dyDescent="0.35">
      <c r="A126">
        <v>125</v>
      </c>
      <c r="B126" t="s">
        <v>156</v>
      </c>
      <c r="C126" t="s">
        <v>70</v>
      </c>
      <c r="D126" t="s">
        <v>23</v>
      </c>
      <c r="E126" t="s">
        <v>17</v>
      </c>
      <c r="F126" t="s">
        <v>18</v>
      </c>
      <c r="G126" t="s">
        <v>40</v>
      </c>
      <c r="H126">
        <v>26</v>
      </c>
      <c r="I126">
        <v>122.73</v>
      </c>
      <c r="J126">
        <v>212.43</v>
      </c>
      <c r="K126">
        <v>15</v>
      </c>
      <c r="L126">
        <v>9</v>
      </c>
      <c r="M126">
        <v>137</v>
      </c>
      <c r="N126" t="s">
        <v>43</v>
      </c>
      <c r="O126" t="str">
        <f t="shared" si="1"/>
        <v>Reorder Now</v>
      </c>
      <c r="P126">
        <f>VLOOKUP(G126, Supplier_Info!$A$1:$D$5, 2, FALSE)</f>
        <v>88</v>
      </c>
      <c r="Q126" t="str">
        <f>VLOOKUP(G126, Supplier_Info!$A$1:$D$5, 4, FALSE)</f>
        <v>Preferred</v>
      </c>
    </row>
    <row r="127" spans="1:17" x14ac:dyDescent="0.35">
      <c r="A127">
        <v>126</v>
      </c>
      <c r="B127" t="s">
        <v>157</v>
      </c>
      <c r="C127" t="s">
        <v>49</v>
      </c>
      <c r="D127" t="s">
        <v>50</v>
      </c>
      <c r="E127" t="s">
        <v>17</v>
      </c>
      <c r="F127" t="s">
        <v>18</v>
      </c>
      <c r="G127" t="s">
        <v>29</v>
      </c>
      <c r="H127">
        <v>153</v>
      </c>
      <c r="I127">
        <v>117.58</v>
      </c>
      <c r="J127">
        <v>190.49</v>
      </c>
      <c r="K127">
        <v>5</v>
      </c>
      <c r="L127">
        <v>207</v>
      </c>
      <c r="M127">
        <v>25</v>
      </c>
      <c r="N127" t="s">
        <v>20</v>
      </c>
      <c r="O127" t="str">
        <f t="shared" si="1"/>
        <v>Ok</v>
      </c>
      <c r="P127">
        <f>VLOOKUP(G127, Supplier_Info!$A$1:$D$5, 2, FALSE)</f>
        <v>65</v>
      </c>
      <c r="Q127" t="str">
        <f>VLOOKUP(G127, Supplier_Info!$A$1:$D$5, 4, FALSE)</f>
        <v>Standard</v>
      </c>
    </row>
    <row r="128" spans="1:17" x14ac:dyDescent="0.35">
      <c r="A128">
        <v>127</v>
      </c>
      <c r="B128" t="s">
        <v>158</v>
      </c>
      <c r="C128" t="s">
        <v>88</v>
      </c>
      <c r="D128" t="s">
        <v>89</v>
      </c>
      <c r="E128" t="s">
        <v>24</v>
      </c>
      <c r="F128" t="s">
        <v>32</v>
      </c>
      <c r="G128" t="s">
        <v>29</v>
      </c>
      <c r="H128">
        <v>59</v>
      </c>
      <c r="I128">
        <v>6.27</v>
      </c>
      <c r="J128">
        <v>9.52</v>
      </c>
      <c r="K128">
        <v>9</v>
      </c>
      <c r="L128">
        <v>223</v>
      </c>
      <c r="M128">
        <v>122</v>
      </c>
      <c r="N128" t="s">
        <v>20</v>
      </c>
      <c r="O128" t="str">
        <f t="shared" si="1"/>
        <v>Ok</v>
      </c>
      <c r="P128">
        <f>VLOOKUP(G128, Supplier_Info!$A$1:$D$5, 2, FALSE)</f>
        <v>65</v>
      </c>
      <c r="Q128" t="str">
        <f>VLOOKUP(G128, Supplier_Info!$A$1:$D$5, 4, FALSE)</f>
        <v>Standard</v>
      </c>
    </row>
    <row r="129" spans="1:17" x14ac:dyDescent="0.35">
      <c r="A129">
        <v>128</v>
      </c>
      <c r="B129" t="s">
        <v>159</v>
      </c>
      <c r="C129" t="s">
        <v>15</v>
      </c>
      <c r="D129" t="s">
        <v>16</v>
      </c>
      <c r="E129" t="s">
        <v>24</v>
      </c>
      <c r="F129" t="s">
        <v>18</v>
      </c>
      <c r="G129" t="s">
        <v>19</v>
      </c>
      <c r="H129">
        <v>91</v>
      </c>
      <c r="I129">
        <v>191.66</v>
      </c>
      <c r="J129">
        <v>281.08</v>
      </c>
      <c r="K129">
        <v>4</v>
      </c>
      <c r="L129">
        <v>261</v>
      </c>
      <c r="M129">
        <v>49</v>
      </c>
      <c r="N129" t="s">
        <v>20</v>
      </c>
      <c r="O129" t="str">
        <f t="shared" si="1"/>
        <v>Ok</v>
      </c>
      <c r="P129">
        <f>VLOOKUP(G129, Supplier_Info!$A$1:$D$5, 2, FALSE)</f>
        <v>78</v>
      </c>
      <c r="Q129" t="str">
        <f>VLOOKUP(G129, Supplier_Info!$A$1:$D$5, 4, FALSE)</f>
        <v>Standard</v>
      </c>
    </row>
    <row r="130" spans="1:17" x14ac:dyDescent="0.35">
      <c r="A130">
        <v>129</v>
      </c>
      <c r="B130" t="s">
        <v>101</v>
      </c>
      <c r="C130" t="s">
        <v>15</v>
      </c>
      <c r="D130" t="s">
        <v>16</v>
      </c>
      <c r="E130" t="s">
        <v>17</v>
      </c>
      <c r="F130" t="s">
        <v>18</v>
      </c>
      <c r="G130" t="s">
        <v>40</v>
      </c>
      <c r="H130">
        <v>136</v>
      </c>
      <c r="I130">
        <v>191.66</v>
      </c>
      <c r="J130">
        <v>259.01</v>
      </c>
      <c r="K130">
        <v>8</v>
      </c>
      <c r="L130">
        <v>88</v>
      </c>
      <c r="M130">
        <v>59</v>
      </c>
      <c r="N130" t="s">
        <v>20</v>
      </c>
      <c r="O130" t="str">
        <f t="shared" si="1"/>
        <v>Ok</v>
      </c>
      <c r="P130">
        <f>VLOOKUP(G130, Supplier_Info!$A$1:$D$5, 2, FALSE)</f>
        <v>88</v>
      </c>
      <c r="Q130" t="str">
        <f>VLOOKUP(G130, Supplier_Info!$A$1:$D$5, 4, FALSE)</f>
        <v>Preferred</v>
      </c>
    </row>
    <row r="131" spans="1:17" x14ac:dyDescent="0.35">
      <c r="A131">
        <v>130</v>
      </c>
      <c r="B131" t="s">
        <v>25</v>
      </c>
      <c r="C131" t="s">
        <v>63</v>
      </c>
      <c r="D131" t="s">
        <v>50</v>
      </c>
      <c r="E131" t="s">
        <v>27</v>
      </c>
      <c r="F131" t="s">
        <v>18</v>
      </c>
      <c r="G131" t="s">
        <v>40</v>
      </c>
      <c r="H131">
        <v>234</v>
      </c>
      <c r="I131">
        <v>13.94</v>
      </c>
      <c r="J131">
        <v>22.05</v>
      </c>
      <c r="K131">
        <v>20</v>
      </c>
      <c r="L131">
        <v>329</v>
      </c>
      <c r="M131">
        <v>102</v>
      </c>
      <c r="N131" t="s">
        <v>20</v>
      </c>
      <c r="O131" t="str">
        <f t="shared" ref="O131:O194" si="2">IF(L131&lt;M131, "Reorder Now", "Ok")</f>
        <v>Ok</v>
      </c>
      <c r="P131">
        <f>VLOOKUP(G131, Supplier_Info!$A$1:$D$5, 2, FALSE)</f>
        <v>88</v>
      </c>
      <c r="Q131" t="str">
        <f>VLOOKUP(G131, Supplier_Info!$A$1:$D$5, 4, FALSE)</f>
        <v>Preferred</v>
      </c>
    </row>
    <row r="132" spans="1:17" x14ac:dyDescent="0.35">
      <c r="A132">
        <v>131</v>
      </c>
      <c r="B132" t="s">
        <v>41</v>
      </c>
      <c r="C132" t="s">
        <v>37</v>
      </c>
      <c r="D132" t="s">
        <v>35</v>
      </c>
      <c r="E132" t="s">
        <v>24</v>
      </c>
      <c r="F132" t="s">
        <v>18</v>
      </c>
      <c r="G132" t="s">
        <v>51</v>
      </c>
      <c r="H132">
        <v>145</v>
      </c>
      <c r="I132">
        <v>125.61</v>
      </c>
      <c r="J132">
        <v>182.31</v>
      </c>
      <c r="K132">
        <v>20</v>
      </c>
      <c r="L132">
        <v>28</v>
      </c>
      <c r="M132">
        <v>110</v>
      </c>
      <c r="N132" t="s">
        <v>20</v>
      </c>
      <c r="O132" t="str">
        <f t="shared" si="2"/>
        <v>Reorder Now</v>
      </c>
      <c r="P132">
        <f>VLOOKUP(G132, Supplier_Info!$A$1:$D$5, 2, FALSE)</f>
        <v>92</v>
      </c>
      <c r="Q132" t="str">
        <f>VLOOKUP(G132, Supplier_Info!$A$1:$D$5, 4, FALSE)</f>
        <v>Preferred</v>
      </c>
    </row>
    <row r="133" spans="1:17" x14ac:dyDescent="0.35">
      <c r="A133">
        <v>132</v>
      </c>
      <c r="B133" t="s">
        <v>41</v>
      </c>
      <c r="C133" t="s">
        <v>59</v>
      </c>
      <c r="D133" t="s">
        <v>23</v>
      </c>
      <c r="E133" t="s">
        <v>17</v>
      </c>
      <c r="F133" t="s">
        <v>32</v>
      </c>
      <c r="G133" t="s">
        <v>51</v>
      </c>
      <c r="H133">
        <v>151</v>
      </c>
      <c r="I133">
        <v>162.84</v>
      </c>
      <c r="J133">
        <v>241.71</v>
      </c>
      <c r="K133">
        <v>4</v>
      </c>
      <c r="L133">
        <v>330</v>
      </c>
      <c r="M133">
        <v>43</v>
      </c>
      <c r="N133" t="s">
        <v>20</v>
      </c>
      <c r="O133" t="str">
        <f t="shared" si="2"/>
        <v>Ok</v>
      </c>
      <c r="P133">
        <f>VLOOKUP(G133, Supplier_Info!$A$1:$D$5, 2, FALSE)</f>
        <v>92</v>
      </c>
      <c r="Q133" t="str">
        <f>VLOOKUP(G133, Supplier_Info!$A$1:$D$5, 4, FALSE)</f>
        <v>Preferred</v>
      </c>
    </row>
    <row r="134" spans="1:17" x14ac:dyDescent="0.35">
      <c r="A134">
        <v>133</v>
      </c>
      <c r="B134" t="s">
        <v>160</v>
      </c>
      <c r="C134" t="s">
        <v>72</v>
      </c>
      <c r="D134" t="s">
        <v>35</v>
      </c>
      <c r="E134" t="s">
        <v>27</v>
      </c>
      <c r="F134" t="s">
        <v>18</v>
      </c>
      <c r="G134" t="s">
        <v>51</v>
      </c>
      <c r="H134">
        <v>297</v>
      </c>
      <c r="I134">
        <v>147.30000000000001</v>
      </c>
      <c r="J134">
        <v>258.44</v>
      </c>
      <c r="K134">
        <v>8</v>
      </c>
      <c r="L134">
        <v>164</v>
      </c>
      <c r="M134">
        <v>141</v>
      </c>
      <c r="N134" t="s">
        <v>20</v>
      </c>
      <c r="O134" t="str">
        <f t="shared" si="2"/>
        <v>Ok</v>
      </c>
      <c r="P134">
        <f>VLOOKUP(G134, Supplier_Info!$A$1:$D$5, 2, FALSE)</f>
        <v>92</v>
      </c>
      <c r="Q134" t="str">
        <f>VLOOKUP(G134, Supplier_Info!$A$1:$D$5, 4, FALSE)</f>
        <v>Preferred</v>
      </c>
    </row>
    <row r="135" spans="1:17" x14ac:dyDescent="0.35">
      <c r="A135">
        <v>134</v>
      </c>
      <c r="B135" t="s">
        <v>137</v>
      </c>
      <c r="C135" t="s">
        <v>107</v>
      </c>
      <c r="D135" t="s">
        <v>50</v>
      </c>
      <c r="E135" t="s">
        <v>24</v>
      </c>
      <c r="F135" t="s">
        <v>18</v>
      </c>
      <c r="G135" t="s">
        <v>19</v>
      </c>
      <c r="H135">
        <v>48</v>
      </c>
      <c r="I135">
        <v>23.86</v>
      </c>
      <c r="J135">
        <v>42.74</v>
      </c>
      <c r="K135">
        <v>18</v>
      </c>
      <c r="L135">
        <v>330</v>
      </c>
      <c r="M135">
        <v>64</v>
      </c>
      <c r="N135" t="s">
        <v>20</v>
      </c>
      <c r="O135" t="str">
        <f t="shared" si="2"/>
        <v>Ok</v>
      </c>
      <c r="P135">
        <f>VLOOKUP(G135, Supplier_Info!$A$1:$D$5, 2, FALSE)</f>
        <v>78</v>
      </c>
      <c r="Q135" t="str">
        <f>VLOOKUP(G135, Supplier_Info!$A$1:$D$5, 4, FALSE)</f>
        <v>Standard</v>
      </c>
    </row>
    <row r="136" spans="1:17" x14ac:dyDescent="0.35">
      <c r="A136">
        <v>135</v>
      </c>
      <c r="B136" t="s">
        <v>161</v>
      </c>
      <c r="C136" t="s">
        <v>22</v>
      </c>
      <c r="D136" t="s">
        <v>23</v>
      </c>
      <c r="E136" t="s">
        <v>17</v>
      </c>
      <c r="F136" t="s">
        <v>18</v>
      </c>
      <c r="G136" t="s">
        <v>51</v>
      </c>
      <c r="H136">
        <v>149</v>
      </c>
      <c r="I136">
        <v>170.26</v>
      </c>
      <c r="J136">
        <v>253.08</v>
      </c>
      <c r="K136">
        <v>14</v>
      </c>
      <c r="L136">
        <v>209</v>
      </c>
      <c r="M136">
        <v>106</v>
      </c>
      <c r="N136" t="s">
        <v>43</v>
      </c>
      <c r="O136" t="str">
        <f t="shared" si="2"/>
        <v>Ok</v>
      </c>
      <c r="P136">
        <f>VLOOKUP(G136, Supplier_Info!$A$1:$D$5, 2, FALSE)</f>
        <v>92</v>
      </c>
      <c r="Q136" t="str">
        <f>VLOOKUP(G136, Supplier_Info!$A$1:$D$5, 4, FALSE)</f>
        <v>Preferred</v>
      </c>
    </row>
    <row r="137" spans="1:17" x14ac:dyDescent="0.35">
      <c r="A137">
        <v>136</v>
      </c>
      <c r="B137" t="s">
        <v>162</v>
      </c>
      <c r="C137" t="s">
        <v>107</v>
      </c>
      <c r="D137" t="s">
        <v>50</v>
      </c>
      <c r="E137" t="s">
        <v>17</v>
      </c>
      <c r="F137" t="s">
        <v>28</v>
      </c>
      <c r="G137" t="s">
        <v>29</v>
      </c>
      <c r="H137">
        <v>202</v>
      </c>
      <c r="I137">
        <v>23.86</v>
      </c>
      <c r="J137">
        <v>32.15</v>
      </c>
      <c r="K137">
        <v>11</v>
      </c>
      <c r="L137">
        <v>129</v>
      </c>
      <c r="M137">
        <v>58</v>
      </c>
      <c r="N137" t="s">
        <v>20</v>
      </c>
      <c r="O137" t="str">
        <f t="shared" si="2"/>
        <v>Ok</v>
      </c>
      <c r="P137">
        <f>VLOOKUP(G137, Supplier_Info!$A$1:$D$5, 2, FALSE)</f>
        <v>65</v>
      </c>
      <c r="Q137" t="str">
        <f>VLOOKUP(G137, Supplier_Info!$A$1:$D$5, 4, FALSE)</f>
        <v>Standard</v>
      </c>
    </row>
    <row r="138" spans="1:17" x14ac:dyDescent="0.35">
      <c r="A138">
        <v>137</v>
      </c>
      <c r="B138" t="s">
        <v>163</v>
      </c>
      <c r="C138" t="s">
        <v>102</v>
      </c>
      <c r="D138" t="s">
        <v>16</v>
      </c>
      <c r="E138" t="s">
        <v>17</v>
      </c>
      <c r="F138" t="s">
        <v>18</v>
      </c>
      <c r="G138" t="s">
        <v>19</v>
      </c>
      <c r="H138">
        <v>205</v>
      </c>
      <c r="I138">
        <v>23.09</v>
      </c>
      <c r="J138">
        <v>41.19</v>
      </c>
      <c r="K138">
        <v>6</v>
      </c>
      <c r="L138">
        <v>304</v>
      </c>
      <c r="M138">
        <v>41</v>
      </c>
      <c r="N138" t="s">
        <v>20</v>
      </c>
      <c r="O138" t="str">
        <f t="shared" si="2"/>
        <v>Ok</v>
      </c>
      <c r="P138">
        <f>VLOOKUP(G138, Supplier_Info!$A$1:$D$5, 2, FALSE)</f>
        <v>78</v>
      </c>
      <c r="Q138" t="str">
        <f>VLOOKUP(G138, Supplier_Info!$A$1:$D$5, 4, FALSE)</f>
        <v>Standard</v>
      </c>
    </row>
    <row r="139" spans="1:17" x14ac:dyDescent="0.35">
      <c r="A139">
        <v>138</v>
      </c>
      <c r="B139" t="s">
        <v>33</v>
      </c>
      <c r="C139" t="s">
        <v>26</v>
      </c>
      <c r="D139" t="s">
        <v>16</v>
      </c>
      <c r="E139" t="s">
        <v>24</v>
      </c>
      <c r="F139" t="s">
        <v>18</v>
      </c>
      <c r="G139" t="s">
        <v>19</v>
      </c>
      <c r="H139">
        <v>274</v>
      </c>
      <c r="I139">
        <v>173.03</v>
      </c>
      <c r="J139">
        <v>285.74</v>
      </c>
      <c r="K139">
        <v>4</v>
      </c>
      <c r="L139">
        <v>330</v>
      </c>
      <c r="M139">
        <v>128</v>
      </c>
      <c r="N139" t="s">
        <v>20</v>
      </c>
      <c r="O139" t="str">
        <f t="shared" si="2"/>
        <v>Ok</v>
      </c>
      <c r="P139">
        <f>VLOOKUP(G139, Supplier_Info!$A$1:$D$5, 2, FALSE)</f>
        <v>78</v>
      </c>
      <c r="Q139" t="str">
        <f>VLOOKUP(G139, Supplier_Info!$A$1:$D$5, 4, FALSE)</f>
        <v>Standard</v>
      </c>
    </row>
    <row r="140" spans="1:17" x14ac:dyDescent="0.35">
      <c r="A140">
        <v>139</v>
      </c>
      <c r="B140" t="s">
        <v>78</v>
      </c>
      <c r="C140" t="s">
        <v>31</v>
      </c>
      <c r="D140" t="s">
        <v>23</v>
      </c>
      <c r="E140" t="s">
        <v>27</v>
      </c>
      <c r="F140" t="s">
        <v>32</v>
      </c>
      <c r="G140" t="s">
        <v>51</v>
      </c>
      <c r="H140">
        <v>253</v>
      </c>
      <c r="I140">
        <v>35.32</v>
      </c>
      <c r="J140">
        <v>51.95</v>
      </c>
      <c r="K140">
        <v>8</v>
      </c>
      <c r="L140">
        <v>115</v>
      </c>
      <c r="M140">
        <v>55</v>
      </c>
      <c r="N140" t="s">
        <v>20</v>
      </c>
      <c r="O140" t="str">
        <f t="shared" si="2"/>
        <v>Ok</v>
      </c>
      <c r="P140">
        <f>VLOOKUP(G140, Supplier_Info!$A$1:$D$5, 2, FALSE)</f>
        <v>92</v>
      </c>
      <c r="Q140" t="str">
        <f>VLOOKUP(G140, Supplier_Info!$A$1:$D$5, 4, FALSE)</f>
        <v>Preferred</v>
      </c>
    </row>
    <row r="141" spans="1:17" x14ac:dyDescent="0.35">
      <c r="A141">
        <v>140</v>
      </c>
      <c r="B141" t="s">
        <v>100</v>
      </c>
      <c r="C141" t="s">
        <v>26</v>
      </c>
      <c r="D141" t="s">
        <v>16</v>
      </c>
      <c r="E141" t="s">
        <v>17</v>
      </c>
      <c r="F141" t="s">
        <v>32</v>
      </c>
      <c r="G141" t="s">
        <v>19</v>
      </c>
      <c r="H141">
        <v>72</v>
      </c>
      <c r="I141">
        <v>173.03</v>
      </c>
      <c r="J141">
        <v>254.07</v>
      </c>
      <c r="K141">
        <v>21</v>
      </c>
      <c r="L141">
        <v>192</v>
      </c>
      <c r="M141">
        <v>59</v>
      </c>
      <c r="N141" t="s">
        <v>20</v>
      </c>
      <c r="O141" t="str">
        <f t="shared" si="2"/>
        <v>Ok</v>
      </c>
      <c r="P141">
        <f>VLOOKUP(G141, Supplier_Info!$A$1:$D$5, 2, FALSE)</f>
        <v>78</v>
      </c>
      <c r="Q141" t="str">
        <f>VLOOKUP(G141, Supplier_Info!$A$1:$D$5, 4, FALSE)</f>
        <v>Standard</v>
      </c>
    </row>
    <row r="142" spans="1:17" x14ac:dyDescent="0.35">
      <c r="A142">
        <v>141</v>
      </c>
      <c r="B142" t="s">
        <v>164</v>
      </c>
      <c r="C142" t="s">
        <v>34</v>
      </c>
      <c r="D142" t="s">
        <v>35</v>
      </c>
      <c r="E142" t="s">
        <v>17</v>
      </c>
      <c r="F142" t="s">
        <v>18</v>
      </c>
      <c r="G142" t="s">
        <v>19</v>
      </c>
      <c r="H142">
        <v>215</v>
      </c>
      <c r="I142">
        <v>142.38999999999999</v>
      </c>
      <c r="J142">
        <v>216.27</v>
      </c>
      <c r="K142">
        <v>13</v>
      </c>
      <c r="L142">
        <v>346</v>
      </c>
      <c r="M142">
        <v>80</v>
      </c>
      <c r="N142" t="s">
        <v>20</v>
      </c>
      <c r="O142" t="str">
        <f t="shared" si="2"/>
        <v>Ok</v>
      </c>
      <c r="P142">
        <f>VLOOKUP(G142, Supplier_Info!$A$1:$D$5, 2, FALSE)</f>
        <v>78</v>
      </c>
      <c r="Q142" t="str">
        <f>VLOOKUP(G142, Supplier_Info!$A$1:$D$5, 4, FALSE)</f>
        <v>Standard</v>
      </c>
    </row>
    <row r="143" spans="1:17" x14ac:dyDescent="0.35">
      <c r="A143">
        <v>142</v>
      </c>
      <c r="B143" t="s">
        <v>125</v>
      </c>
      <c r="C143" t="s">
        <v>39</v>
      </c>
      <c r="D143" t="s">
        <v>16</v>
      </c>
      <c r="E143" t="s">
        <v>24</v>
      </c>
      <c r="F143" t="s">
        <v>32</v>
      </c>
      <c r="G143" t="s">
        <v>40</v>
      </c>
      <c r="H143">
        <v>245</v>
      </c>
      <c r="I143">
        <v>78.81</v>
      </c>
      <c r="J143">
        <v>111.88</v>
      </c>
      <c r="K143">
        <v>8</v>
      </c>
      <c r="L143">
        <v>188</v>
      </c>
      <c r="M143">
        <v>132</v>
      </c>
      <c r="N143" t="s">
        <v>20</v>
      </c>
      <c r="O143" t="str">
        <f t="shared" si="2"/>
        <v>Ok</v>
      </c>
      <c r="P143">
        <f>VLOOKUP(G143, Supplier_Info!$A$1:$D$5, 2, FALSE)</f>
        <v>88</v>
      </c>
      <c r="Q143" t="str">
        <f>VLOOKUP(G143, Supplier_Info!$A$1:$D$5, 4, FALSE)</f>
        <v>Preferred</v>
      </c>
    </row>
    <row r="144" spans="1:17" x14ac:dyDescent="0.35">
      <c r="A144">
        <v>143</v>
      </c>
      <c r="B144" t="s">
        <v>165</v>
      </c>
      <c r="C144" t="s">
        <v>76</v>
      </c>
      <c r="D144" t="s">
        <v>35</v>
      </c>
      <c r="E144" t="s">
        <v>27</v>
      </c>
      <c r="F144" t="s">
        <v>32</v>
      </c>
      <c r="G144" t="s">
        <v>51</v>
      </c>
      <c r="H144">
        <v>75</v>
      </c>
      <c r="I144">
        <v>71.349999999999994</v>
      </c>
      <c r="J144">
        <v>121.9</v>
      </c>
      <c r="K144">
        <v>10</v>
      </c>
      <c r="L144">
        <v>26</v>
      </c>
      <c r="M144">
        <v>143</v>
      </c>
      <c r="N144" t="s">
        <v>20</v>
      </c>
      <c r="O144" t="str">
        <f t="shared" si="2"/>
        <v>Reorder Now</v>
      </c>
      <c r="P144">
        <f>VLOOKUP(G144, Supplier_Info!$A$1:$D$5, 2, FALSE)</f>
        <v>92</v>
      </c>
      <c r="Q144" t="str">
        <f>VLOOKUP(G144, Supplier_Info!$A$1:$D$5, 4, FALSE)</f>
        <v>Preferred</v>
      </c>
    </row>
    <row r="145" spans="1:17" x14ac:dyDescent="0.35">
      <c r="A145">
        <v>144</v>
      </c>
      <c r="B145" t="s">
        <v>166</v>
      </c>
      <c r="C145" t="s">
        <v>102</v>
      </c>
      <c r="D145" t="s">
        <v>16</v>
      </c>
      <c r="E145" t="s">
        <v>27</v>
      </c>
      <c r="F145" t="s">
        <v>18</v>
      </c>
      <c r="G145" t="s">
        <v>29</v>
      </c>
      <c r="H145">
        <v>87</v>
      </c>
      <c r="I145">
        <v>23.09</v>
      </c>
      <c r="J145">
        <v>30.99</v>
      </c>
      <c r="K145">
        <v>10</v>
      </c>
      <c r="L145">
        <v>230</v>
      </c>
      <c r="M145">
        <v>57</v>
      </c>
      <c r="N145" t="s">
        <v>20</v>
      </c>
      <c r="O145" t="str">
        <f t="shared" si="2"/>
        <v>Ok</v>
      </c>
      <c r="P145">
        <f>VLOOKUP(G145, Supplier_Info!$A$1:$D$5, 2, FALSE)</f>
        <v>65</v>
      </c>
      <c r="Q145" t="str">
        <f>VLOOKUP(G145, Supplier_Info!$A$1:$D$5, 4, FALSE)</f>
        <v>Standard</v>
      </c>
    </row>
    <row r="146" spans="1:17" x14ac:dyDescent="0.35">
      <c r="A146">
        <v>145</v>
      </c>
      <c r="B146" t="s">
        <v>167</v>
      </c>
      <c r="C146" t="s">
        <v>42</v>
      </c>
      <c r="D146" t="s">
        <v>23</v>
      </c>
      <c r="E146" t="s">
        <v>24</v>
      </c>
      <c r="F146" t="s">
        <v>28</v>
      </c>
      <c r="G146" t="s">
        <v>51</v>
      </c>
      <c r="H146">
        <v>207</v>
      </c>
      <c r="I146">
        <v>119.91</v>
      </c>
      <c r="J146">
        <v>180.76</v>
      </c>
      <c r="K146">
        <v>18</v>
      </c>
      <c r="L146">
        <v>191</v>
      </c>
      <c r="M146">
        <v>80</v>
      </c>
      <c r="N146" t="s">
        <v>43</v>
      </c>
      <c r="O146" t="str">
        <f t="shared" si="2"/>
        <v>Ok</v>
      </c>
      <c r="P146">
        <f>VLOOKUP(G146, Supplier_Info!$A$1:$D$5, 2, FALSE)</f>
        <v>92</v>
      </c>
      <c r="Q146" t="str">
        <f>VLOOKUP(G146, Supplier_Info!$A$1:$D$5, 4, FALSE)</f>
        <v>Preferred</v>
      </c>
    </row>
    <row r="147" spans="1:17" x14ac:dyDescent="0.35">
      <c r="A147">
        <v>146</v>
      </c>
      <c r="B147" t="s">
        <v>168</v>
      </c>
      <c r="C147" t="s">
        <v>107</v>
      </c>
      <c r="D147" t="s">
        <v>50</v>
      </c>
      <c r="E147" t="s">
        <v>24</v>
      </c>
      <c r="F147" t="s">
        <v>32</v>
      </c>
      <c r="G147" t="s">
        <v>19</v>
      </c>
      <c r="H147">
        <v>176</v>
      </c>
      <c r="I147">
        <v>23.86</v>
      </c>
      <c r="J147">
        <v>42.12</v>
      </c>
      <c r="K147">
        <v>6</v>
      </c>
      <c r="L147">
        <v>70</v>
      </c>
      <c r="M147">
        <v>29</v>
      </c>
      <c r="N147" t="s">
        <v>43</v>
      </c>
      <c r="O147" t="str">
        <f t="shared" si="2"/>
        <v>Ok</v>
      </c>
      <c r="P147">
        <f>VLOOKUP(G147, Supplier_Info!$A$1:$D$5, 2, FALSE)</f>
        <v>78</v>
      </c>
      <c r="Q147" t="str">
        <f>VLOOKUP(G147, Supplier_Info!$A$1:$D$5, 4, FALSE)</f>
        <v>Standard</v>
      </c>
    </row>
    <row r="148" spans="1:17" x14ac:dyDescent="0.35">
      <c r="A148">
        <v>147</v>
      </c>
      <c r="B148" t="s">
        <v>169</v>
      </c>
      <c r="C148" t="s">
        <v>63</v>
      </c>
      <c r="D148" t="s">
        <v>50</v>
      </c>
      <c r="E148" t="s">
        <v>27</v>
      </c>
      <c r="F148" t="s">
        <v>32</v>
      </c>
      <c r="G148" t="s">
        <v>40</v>
      </c>
      <c r="H148">
        <v>234</v>
      </c>
      <c r="I148">
        <v>13.94</v>
      </c>
      <c r="J148">
        <v>23.04</v>
      </c>
      <c r="K148">
        <v>21</v>
      </c>
      <c r="L148">
        <v>2</v>
      </c>
      <c r="M148">
        <v>40</v>
      </c>
      <c r="N148" t="s">
        <v>20</v>
      </c>
      <c r="O148" t="str">
        <f t="shared" si="2"/>
        <v>Reorder Now</v>
      </c>
      <c r="P148">
        <f>VLOOKUP(G148, Supplier_Info!$A$1:$D$5, 2, FALSE)</f>
        <v>88</v>
      </c>
      <c r="Q148" t="str">
        <f>VLOOKUP(G148, Supplier_Info!$A$1:$D$5, 4, FALSE)</f>
        <v>Preferred</v>
      </c>
    </row>
    <row r="149" spans="1:17" x14ac:dyDescent="0.35">
      <c r="A149">
        <v>148</v>
      </c>
      <c r="B149" t="s">
        <v>170</v>
      </c>
      <c r="C149" t="s">
        <v>57</v>
      </c>
      <c r="D149" t="s">
        <v>35</v>
      </c>
      <c r="E149" t="s">
        <v>17</v>
      </c>
      <c r="F149" t="s">
        <v>18</v>
      </c>
      <c r="G149" t="s">
        <v>51</v>
      </c>
      <c r="H149">
        <v>126</v>
      </c>
      <c r="I149">
        <v>162.13</v>
      </c>
      <c r="J149">
        <v>273.69</v>
      </c>
      <c r="K149">
        <v>11</v>
      </c>
      <c r="L149">
        <v>62</v>
      </c>
      <c r="M149">
        <v>32</v>
      </c>
      <c r="N149" t="s">
        <v>20</v>
      </c>
      <c r="O149" t="str">
        <f t="shared" si="2"/>
        <v>Ok</v>
      </c>
      <c r="P149">
        <f>VLOOKUP(G149, Supplier_Info!$A$1:$D$5, 2, FALSE)</f>
        <v>92</v>
      </c>
      <c r="Q149" t="str">
        <f>VLOOKUP(G149, Supplier_Info!$A$1:$D$5, 4, FALSE)</f>
        <v>Preferred</v>
      </c>
    </row>
    <row r="150" spans="1:17" x14ac:dyDescent="0.35">
      <c r="A150">
        <v>149</v>
      </c>
      <c r="B150" t="s">
        <v>171</v>
      </c>
      <c r="C150" t="s">
        <v>57</v>
      </c>
      <c r="D150" t="s">
        <v>35</v>
      </c>
      <c r="E150" t="s">
        <v>17</v>
      </c>
      <c r="F150" t="s">
        <v>28</v>
      </c>
      <c r="G150" t="s">
        <v>29</v>
      </c>
      <c r="H150">
        <v>260</v>
      </c>
      <c r="I150">
        <v>162.13</v>
      </c>
      <c r="J150">
        <v>278.60000000000002</v>
      </c>
      <c r="K150">
        <v>21</v>
      </c>
      <c r="L150">
        <v>274</v>
      </c>
      <c r="M150">
        <v>24</v>
      </c>
      <c r="N150" t="s">
        <v>20</v>
      </c>
      <c r="O150" t="str">
        <f t="shared" si="2"/>
        <v>Ok</v>
      </c>
      <c r="P150">
        <f>VLOOKUP(G150, Supplier_Info!$A$1:$D$5, 2, FALSE)</f>
        <v>65</v>
      </c>
      <c r="Q150" t="str">
        <f>VLOOKUP(G150, Supplier_Info!$A$1:$D$5, 4, FALSE)</f>
        <v>Standard</v>
      </c>
    </row>
    <row r="151" spans="1:17" x14ac:dyDescent="0.35">
      <c r="A151">
        <v>150</v>
      </c>
      <c r="B151" t="s">
        <v>172</v>
      </c>
      <c r="C151" t="s">
        <v>80</v>
      </c>
      <c r="D151" t="s">
        <v>23</v>
      </c>
      <c r="E151" t="s">
        <v>27</v>
      </c>
      <c r="F151" t="s">
        <v>32</v>
      </c>
      <c r="G151" t="s">
        <v>29</v>
      </c>
      <c r="H151">
        <v>185</v>
      </c>
      <c r="I151">
        <v>162.38999999999999</v>
      </c>
      <c r="J151">
        <v>211.23</v>
      </c>
      <c r="K151">
        <v>9</v>
      </c>
      <c r="L151">
        <v>292</v>
      </c>
      <c r="M151">
        <v>126</v>
      </c>
      <c r="N151" t="s">
        <v>20</v>
      </c>
      <c r="O151" t="str">
        <f t="shared" si="2"/>
        <v>Ok</v>
      </c>
      <c r="P151">
        <f>VLOOKUP(G151, Supplier_Info!$A$1:$D$5, 2, FALSE)</f>
        <v>65</v>
      </c>
      <c r="Q151" t="str">
        <f>VLOOKUP(G151, Supplier_Info!$A$1:$D$5, 4, FALSE)</f>
        <v>Standard</v>
      </c>
    </row>
    <row r="152" spans="1:17" x14ac:dyDescent="0.35">
      <c r="A152">
        <v>151</v>
      </c>
      <c r="B152" t="s">
        <v>173</v>
      </c>
      <c r="C152" t="s">
        <v>88</v>
      </c>
      <c r="D152" t="s">
        <v>89</v>
      </c>
      <c r="E152" t="s">
        <v>24</v>
      </c>
      <c r="F152" t="s">
        <v>28</v>
      </c>
      <c r="G152" t="s">
        <v>40</v>
      </c>
      <c r="H152">
        <v>283</v>
      </c>
      <c r="I152">
        <v>6.27</v>
      </c>
      <c r="J152">
        <v>11.14</v>
      </c>
      <c r="K152">
        <v>18</v>
      </c>
      <c r="L152">
        <v>402</v>
      </c>
      <c r="M152">
        <v>149</v>
      </c>
      <c r="N152" t="s">
        <v>20</v>
      </c>
      <c r="O152" t="str">
        <f t="shared" si="2"/>
        <v>Ok</v>
      </c>
      <c r="P152">
        <f>VLOOKUP(G152, Supplier_Info!$A$1:$D$5, 2, FALSE)</f>
        <v>88</v>
      </c>
      <c r="Q152" t="str">
        <f>VLOOKUP(G152, Supplier_Info!$A$1:$D$5, 4, FALSE)</f>
        <v>Preferred</v>
      </c>
    </row>
    <row r="153" spans="1:17" x14ac:dyDescent="0.35">
      <c r="A153">
        <v>152</v>
      </c>
      <c r="B153" t="s">
        <v>174</v>
      </c>
      <c r="C153" t="s">
        <v>22</v>
      </c>
      <c r="D153" t="s">
        <v>23</v>
      </c>
      <c r="E153" t="s">
        <v>17</v>
      </c>
      <c r="F153" t="s">
        <v>32</v>
      </c>
      <c r="G153" t="s">
        <v>51</v>
      </c>
      <c r="H153">
        <v>13</v>
      </c>
      <c r="I153">
        <v>170.26</v>
      </c>
      <c r="J153">
        <v>242.93</v>
      </c>
      <c r="K153">
        <v>13</v>
      </c>
      <c r="L153">
        <v>403</v>
      </c>
      <c r="M153">
        <v>37</v>
      </c>
      <c r="N153" t="s">
        <v>20</v>
      </c>
      <c r="O153" t="str">
        <f t="shared" si="2"/>
        <v>Ok</v>
      </c>
      <c r="P153">
        <f>VLOOKUP(G153, Supplier_Info!$A$1:$D$5, 2, FALSE)</f>
        <v>92</v>
      </c>
      <c r="Q153" t="str">
        <f>VLOOKUP(G153, Supplier_Info!$A$1:$D$5, 4, FALSE)</f>
        <v>Preferred</v>
      </c>
    </row>
    <row r="154" spans="1:17" x14ac:dyDescent="0.35">
      <c r="A154">
        <v>153</v>
      </c>
      <c r="B154" t="s">
        <v>175</v>
      </c>
      <c r="C154" t="s">
        <v>63</v>
      </c>
      <c r="D154" t="s">
        <v>50</v>
      </c>
      <c r="E154" t="s">
        <v>27</v>
      </c>
      <c r="F154" t="s">
        <v>32</v>
      </c>
      <c r="G154" t="s">
        <v>40</v>
      </c>
      <c r="H154">
        <v>175</v>
      </c>
      <c r="I154">
        <v>13.94</v>
      </c>
      <c r="J154">
        <v>22.18</v>
      </c>
      <c r="K154">
        <v>6</v>
      </c>
      <c r="L154">
        <v>22</v>
      </c>
      <c r="M154">
        <v>110</v>
      </c>
      <c r="N154" t="s">
        <v>43</v>
      </c>
      <c r="O154" t="str">
        <f t="shared" si="2"/>
        <v>Reorder Now</v>
      </c>
      <c r="P154">
        <f>VLOOKUP(G154, Supplier_Info!$A$1:$D$5, 2, FALSE)</f>
        <v>88</v>
      </c>
      <c r="Q154" t="str">
        <f>VLOOKUP(G154, Supplier_Info!$A$1:$D$5, 4, FALSE)</f>
        <v>Preferred</v>
      </c>
    </row>
    <row r="155" spans="1:17" x14ac:dyDescent="0.35">
      <c r="A155">
        <v>154</v>
      </c>
      <c r="B155" t="s">
        <v>124</v>
      </c>
      <c r="C155" t="s">
        <v>49</v>
      </c>
      <c r="D155" t="s">
        <v>50</v>
      </c>
      <c r="E155" t="s">
        <v>27</v>
      </c>
      <c r="F155" t="s">
        <v>28</v>
      </c>
      <c r="G155" t="s">
        <v>51</v>
      </c>
      <c r="H155">
        <v>98</v>
      </c>
      <c r="I155">
        <v>117.58</v>
      </c>
      <c r="J155">
        <v>180.99</v>
      </c>
      <c r="K155">
        <v>6</v>
      </c>
      <c r="L155">
        <v>32</v>
      </c>
      <c r="M155">
        <v>137</v>
      </c>
      <c r="N155" t="s">
        <v>20</v>
      </c>
      <c r="O155" t="str">
        <f t="shared" si="2"/>
        <v>Reorder Now</v>
      </c>
      <c r="P155">
        <f>VLOOKUP(G155, Supplier_Info!$A$1:$D$5, 2, FALSE)</f>
        <v>92</v>
      </c>
      <c r="Q155" t="str">
        <f>VLOOKUP(G155, Supplier_Info!$A$1:$D$5, 4, FALSE)</f>
        <v>Preferred</v>
      </c>
    </row>
    <row r="156" spans="1:17" x14ac:dyDescent="0.35">
      <c r="A156">
        <v>155</v>
      </c>
      <c r="B156" t="s">
        <v>115</v>
      </c>
      <c r="C156" t="s">
        <v>107</v>
      </c>
      <c r="D156" t="s">
        <v>50</v>
      </c>
      <c r="E156" t="s">
        <v>17</v>
      </c>
      <c r="F156" t="s">
        <v>28</v>
      </c>
      <c r="G156" t="s">
        <v>29</v>
      </c>
      <c r="H156">
        <v>268</v>
      </c>
      <c r="I156">
        <v>23.86</v>
      </c>
      <c r="J156">
        <v>42.15</v>
      </c>
      <c r="K156">
        <v>14</v>
      </c>
      <c r="L156">
        <v>417</v>
      </c>
      <c r="M156">
        <v>141</v>
      </c>
      <c r="N156" t="s">
        <v>20</v>
      </c>
      <c r="O156" t="str">
        <f t="shared" si="2"/>
        <v>Ok</v>
      </c>
      <c r="P156">
        <f>VLOOKUP(G156, Supplier_Info!$A$1:$D$5, 2, FALSE)</f>
        <v>65</v>
      </c>
      <c r="Q156" t="str">
        <f>VLOOKUP(G156, Supplier_Info!$A$1:$D$5, 4, FALSE)</f>
        <v>Standard</v>
      </c>
    </row>
    <row r="157" spans="1:17" x14ac:dyDescent="0.35">
      <c r="A157">
        <v>156</v>
      </c>
      <c r="B157" t="s">
        <v>176</v>
      </c>
      <c r="C157" t="s">
        <v>22</v>
      </c>
      <c r="D157" t="s">
        <v>23</v>
      </c>
      <c r="E157" t="s">
        <v>24</v>
      </c>
      <c r="F157" t="s">
        <v>32</v>
      </c>
      <c r="G157" t="s">
        <v>40</v>
      </c>
      <c r="H157">
        <v>29</v>
      </c>
      <c r="I157">
        <v>170.26</v>
      </c>
      <c r="J157">
        <v>294.73</v>
      </c>
      <c r="K157">
        <v>12</v>
      </c>
      <c r="L157">
        <v>139</v>
      </c>
      <c r="M157">
        <v>51</v>
      </c>
      <c r="N157" t="s">
        <v>20</v>
      </c>
      <c r="O157" t="str">
        <f t="shared" si="2"/>
        <v>Ok</v>
      </c>
      <c r="P157">
        <f>VLOOKUP(G157, Supplier_Info!$A$1:$D$5, 2, FALSE)</f>
        <v>88</v>
      </c>
      <c r="Q157" t="str">
        <f>VLOOKUP(G157, Supplier_Info!$A$1:$D$5, 4, FALSE)</f>
        <v>Preferred</v>
      </c>
    </row>
    <row r="158" spans="1:17" x14ac:dyDescent="0.35">
      <c r="A158">
        <v>157</v>
      </c>
      <c r="B158" t="s">
        <v>176</v>
      </c>
      <c r="C158" t="s">
        <v>70</v>
      </c>
      <c r="D158" t="s">
        <v>23</v>
      </c>
      <c r="E158" t="s">
        <v>17</v>
      </c>
      <c r="F158" t="s">
        <v>18</v>
      </c>
      <c r="G158" t="s">
        <v>51</v>
      </c>
      <c r="H158">
        <v>100</v>
      </c>
      <c r="I158">
        <v>122.73</v>
      </c>
      <c r="J158">
        <v>180.35</v>
      </c>
      <c r="K158">
        <v>17</v>
      </c>
      <c r="L158">
        <v>354</v>
      </c>
      <c r="M158">
        <v>147</v>
      </c>
      <c r="N158" t="s">
        <v>43</v>
      </c>
      <c r="O158" t="str">
        <f t="shared" si="2"/>
        <v>Ok</v>
      </c>
      <c r="P158">
        <f>VLOOKUP(G158, Supplier_Info!$A$1:$D$5, 2, FALSE)</f>
        <v>92</v>
      </c>
      <c r="Q158" t="str">
        <f>VLOOKUP(G158, Supplier_Info!$A$1:$D$5, 4, FALSE)</f>
        <v>Preferred</v>
      </c>
    </row>
    <row r="159" spans="1:17" x14ac:dyDescent="0.35">
      <c r="A159">
        <v>158</v>
      </c>
      <c r="B159" t="s">
        <v>177</v>
      </c>
      <c r="C159" t="s">
        <v>34</v>
      </c>
      <c r="D159" t="s">
        <v>35</v>
      </c>
      <c r="E159" t="s">
        <v>27</v>
      </c>
      <c r="F159" t="s">
        <v>18</v>
      </c>
      <c r="G159" t="s">
        <v>29</v>
      </c>
      <c r="H159">
        <v>225</v>
      </c>
      <c r="I159">
        <v>142.38999999999999</v>
      </c>
      <c r="J159">
        <v>215.33</v>
      </c>
      <c r="K159">
        <v>21</v>
      </c>
      <c r="L159">
        <v>421</v>
      </c>
      <c r="M159">
        <v>66</v>
      </c>
      <c r="N159" t="s">
        <v>20</v>
      </c>
      <c r="O159" t="str">
        <f t="shared" si="2"/>
        <v>Ok</v>
      </c>
      <c r="P159">
        <f>VLOOKUP(G159, Supplier_Info!$A$1:$D$5, 2, FALSE)</f>
        <v>65</v>
      </c>
      <c r="Q159" t="str">
        <f>VLOOKUP(G159, Supplier_Info!$A$1:$D$5, 4, FALSE)</f>
        <v>Standard</v>
      </c>
    </row>
    <row r="160" spans="1:17" x14ac:dyDescent="0.35">
      <c r="A160">
        <v>159</v>
      </c>
      <c r="B160" t="s">
        <v>81</v>
      </c>
      <c r="C160" t="s">
        <v>102</v>
      </c>
      <c r="D160" t="s">
        <v>16</v>
      </c>
      <c r="E160" t="s">
        <v>17</v>
      </c>
      <c r="F160" t="s">
        <v>18</v>
      </c>
      <c r="G160" t="s">
        <v>40</v>
      </c>
      <c r="H160">
        <v>223</v>
      </c>
      <c r="I160">
        <v>23.09</v>
      </c>
      <c r="J160">
        <v>35.17</v>
      </c>
      <c r="K160">
        <v>7</v>
      </c>
      <c r="L160">
        <v>353</v>
      </c>
      <c r="M160">
        <v>133</v>
      </c>
      <c r="N160" t="s">
        <v>20</v>
      </c>
      <c r="O160" t="str">
        <f t="shared" si="2"/>
        <v>Ok</v>
      </c>
      <c r="P160">
        <f>VLOOKUP(G160, Supplier_Info!$A$1:$D$5, 2, FALSE)</f>
        <v>88</v>
      </c>
      <c r="Q160" t="str">
        <f>VLOOKUP(G160, Supplier_Info!$A$1:$D$5, 4, FALSE)</f>
        <v>Preferred</v>
      </c>
    </row>
    <row r="161" spans="1:17" x14ac:dyDescent="0.35">
      <c r="A161">
        <v>160</v>
      </c>
      <c r="B161" t="s">
        <v>178</v>
      </c>
      <c r="C161" t="s">
        <v>61</v>
      </c>
      <c r="D161" t="s">
        <v>23</v>
      </c>
      <c r="E161" t="s">
        <v>17</v>
      </c>
      <c r="F161" t="s">
        <v>32</v>
      </c>
      <c r="G161" t="s">
        <v>19</v>
      </c>
      <c r="H161">
        <v>34</v>
      </c>
      <c r="I161">
        <v>70.64</v>
      </c>
      <c r="J161">
        <v>114.42</v>
      </c>
      <c r="K161">
        <v>4</v>
      </c>
      <c r="L161">
        <v>343</v>
      </c>
      <c r="M161">
        <v>123</v>
      </c>
      <c r="N161" t="s">
        <v>20</v>
      </c>
      <c r="O161" t="str">
        <f t="shared" si="2"/>
        <v>Ok</v>
      </c>
      <c r="P161">
        <f>VLOOKUP(G161, Supplier_Info!$A$1:$D$5, 2, FALSE)</f>
        <v>78</v>
      </c>
      <c r="Q161" t="str">
        <f>VLOOKUP(G161, Supplier_Info!$A$1:$D$5, 4, FALSE)</f>
        <v>Standard</v>
      </c>
    </row>
    <row r="162" spans="1:17" x14ac:dyDescent="0.35">
      <c r="A162">
        <v>161</v>
      </c>
      <c r="B162" t="s">
        <v>66</v>
      </c>
      <c r="C162" t="s">
        <v>42</v>
      </c>
      <c r="D162" t="s">
        <v>23</v>
      </c>
      <c r="E162" t="s">
        <v>24</v>
      </c>
      <c r="F162" t="s">
        <v>18</v>
      </c>
      <c r="G162" t="s">
        <v>40</v>
      </c>
      <c r="H162">
        <v>229</v>
      </c>
      <c r="I162">
        <v>119.91</v>
      </c>
      <c r="J162">
        <v>164.44</v>
      </c>
      <c r="K162">
        <v>3</v>
      </c>
      <c r="L162">
        <v>64</v>
      </c>
      <c r="M162">
        <v>37</v>
      </c>
      <c r="N162" t="s">
        <v>20</v>
      </c>
      <c r="O162" t="str">
        <f t="shared" si="2"/>
        <v>Ok</v>
      </c>
      <c r="P162">
        <f>VLOOKUP(G162, Supplier_Info!$A$1:$D$5, 2, FALSE)</f>
        <v>88</v>
      </c>
      <c r="Q162" t="str">
        <f>VLOOKUP(G162, Supplier_Info!$A$1:$D$5, 4, FALSE)</f>
        <v>Preferred</v>
      </c>
    </row>
    <row r="163" spans="1:17" x14ac:dyDescent="0.35">
      <c r="A163">
        <v>162</v>
      </c>
      <c r="B163" t="s">
        <v>165</v>
      </c>
      <c r="C163" t="s">
        <v>53</v>
      </c>
      <c r="D163" t="s">
        <v>23</v>
      </c>
      <c r="E163" t="s">
        <v>27</v>
      </c>
      <c r="F163" t="s">
        <v>32</v>
      </c>
      <c r="G163" t="s">
        <v>19</v>
      </c>
      <c r="H163">
        <v>83</v>
      </c>
      <c r="I163">
        <v>112.65</v>
      </c>
      <c r="J163">
        <v>148.27000000000001</v>
      </c>
      <c r="K163">
        <v>16</v>
      </c>
      <c r="L163">
        <v>485</v>
      </c>
      <c r="M163">
        <v>114</v>
      </c>
      <c r="N163" t="s">
        <v>20</v>
      </c>
      <c r="O163" t="str">
        <f t="shared" si="2"/>
        <v>Ok</v>
      </c>
      <c r="P163">
        <f>VLOOKUP(G163, Supplier_Info!$A$1:$D$5, 2, FALSE)</f>
        <v>78</v>
      </c>
      <c r="Q163" t="str">
        <f>VLOOKUP(G163, Supplier_Info!$A$1:$D$5, 4, FALSE)</f>
        <v>Standard</v>
      </c>
    </row>
    <row r="164" spans="1:17" x14ac:dyDescent="0.35">
      <c r="A164">
        <v>163</v>
      </c>
      <c r="B164" t="s">
        <v>179</v>
      </c>
      <c r="C164" t="s">
        <v>55</v>
      </c>
      <c r="D164" t="s">
        <v>16</v>
      </c>
      <c r="E164" t="s">
        <v>24</v>
      </c>
      <c r="F164" t="s">
        <v>32</v>
      </c>
      <c r="G164" t="s">
        <v>40</v>
      </c>
      <c r="H164">
        <v>165</v>
      </c>
      <c r="I164">
        <v>194.76</v>
      </c>
      <c r="J164">
        <v>288.92</v>
      </c>
      <c r="K164">
        <v>10</v>
      </c>
      <c r="L164">
        <v>127</v>
      </c>
      <c r="M164">
        <v>49</v>
      </c>
      <c r="N164" t="s">
        <v>20</v>
      </c>
      <c r="O164" t="str">
        <f t="shared" si="2"/>
        <v>Ok</v>
      </c>
      <c r="P164">
        <f>VLOOKUP(G164, Supplier_Info!$A$1:$D$5, 2, FALSE)</f>
        <v>88</v>
      </c>
      <c r="Q164" t="str">
        <f>VLOOKUP(G164, Supplier_Info!$A$1:$D$5, 4, FALSE)</f>
        <v>Preferred</v>
      </c>
    </row>
    <row r="165" spans="1:17" x14ac:dyDescent="0.35">
      <c r="A165">
        <v>164</v>
      </c>
      <c r="B165" t="s">
        <v>114</v>
      </c>
      <c r="C165" t="s">
        <v>39</v>
      </c>
      <c r="D165" t="s">
        <v>16</v>
      </c>
      <c r="E165" t="s">
        <v>27</v>
      </c>
      <c r="F165" t="s">
        <v>28</v>
      </c>
      <c r="G165" t="s">
        <v>40</v>
      </c>
      <c r="H165">
        <v>138</v>
      </c>
      <c r="I165">
        <v>78.81</v>
      </c>
      <c r="J165">
        <v>107.09</v>
      </c>
      <c r="K165">
        <v>16</v>
      </c>
      <c r="L165">
        <v>109</v>
      </c>
      <c r="M165">
        <v>93</v>
      </c>
      <c r="N165" t="s">
        <v>20</v>
      </c>
      <c r="O165" t="str">
        <f t="shared" si="2"/>
        <v>Ok</v>
      </c>
      <c r="P165">
        <f>VLOOKUP(G165, Supplier_Info!$A$1:$D$5, 2, FALSE)</f>
        <v>88</v>
      </c>
      <c r="Q165" t="str">
        <f>VLOOKUP(G165, Supplier_Info!$A$1:$D$5, 4, FALSE)</f>
        <v>Preferred</v>
      </c>
    </row>
    <row r="166" spans="1:17" x14ac:dyDescent="0.35">
      <c r="A166">
        <v>165</v>
      </c>
      <c r="B166" t="s">
        <v>103</v>
      </c>
      <c r="C166" t="s">
        <v>76</v>
      </c>
      <c r="D166" t="s">
        <v>35</v>
      </c>
      <c r="E166" t="s">
        <v>17</v>
      </c>
      <c r="F166" t="s">
        <v>32</v>
      </c>
      <c r="G166" t="s">
        <v>29</v>
      </c>
      <c r="H166">
        <v>232</v>
      </c>
      <c r="I166">
        <v>71.349999999999994</v>
      </c>
      <c r="J166">
        <v>124.82</v>
      </c>
      <c r="K166">
        <v>4</v>
      </c>
      <c r="L166">
        <v>414</v>
      </c>
      <c r="M166">
        <v>101</v>
      </c>
      <c r="N166" t="s">
        <v>20</v>
      </c>
      <c r="O166" t="str">
        <f t="shared" si="2"/>
        <v>Ok</v>
      </c>
      <c r="P166">
        <f>VLOOKUP(G166, Supplier_Info!$A$1:$D$5, 2, FALSE)</f>
        <v>65</v>
      </c>
      <c r="Q166" t="str">
        <f>VLOOKUP(G166, Supplier_Info!$A$1:$D$5, 4, FALSE)</f>
        <v>Standard</v>
      </c>
    </row>
    <row r="167" spans="1:17" x14ac:dyDescent="0.35">
      <c r="A167">
        <v>166</v>
      </c>
      <c r="B167" t="s">
        <v>180</v>
      </c>
      <c r="C167" t="s">
        <v>102</v>
      </c>
      <c r="D167" t="s">
        <v>16</v>
      </c>
      <c r="E167" t="s">
        <v>27</v>
      </c>
      <c r="F167" t="s">
        <v>28</v>
      </c>
      <c r="G167" t="s">
        <v>40</v>
      </c>
      <c r="H167">
        <v>94</v>
      </c>
      <c r="I167">
        <v>23.09</v>
      </c>
      <c r="J167">
        <v>39.85</v>
      </c>
      <c r="K167">
        <v>13</v>
      </c>
      <c r="L167">
        <v>260</v>
      </c>
      <c r="M167">
        <v>77</v>
      </c>
      <c r="N167" t="s">
        <v>43</v>
      </c>
      <c r="O167" t="str">
        <f t="shared" si="2"/>
        <v>Ok</v>
      </c>
      <c r="P167">
        <f>VLOOKUP(G167, Supplier_Info!$A$1:$D$5, 2, FALSE)</f>
        <v>88</v>
      </c>
      <c r="Q167" t="str">
        <f>VLOOKUP(G167, Supplier_Info!$A$1:$D$5, 4, FALSE)</f>
        <v>Preferred</v>
      </c>
    </row>
    <row r="168" spans="1:17" x14ac:dyDescent="0.35">
      <c r="A168">
        <v>167</v>
      </c>
      <c r="B168" t="s">
        <v>181</v>
      </c>
      <c r="C168" t="s">
        <v>42</v>
      </c>
      <c r="D168" t="s">
        <v>23</v>
      </c>
      <c r="E168" t="s">
        <v>24</v>
      </c>
      <c r="F168" t="s">
        <v>32</v>
      </c>
      <c r="G168" t="s">
        <v>40</v>
      </c>
      <c r="H168">
        <v>298</v>
      </c>
      <c r="I168">
        <v>119.91</v>
      </c>
      <c r="J168">
        <v>177.52</v>
      </c>
      <c r="K168">
        <v>13</v>
      </c>
      <c r="L168">
        <v>239</v>
      </c>
      <c r="M168">
        <v>53</v>
      </c>
      <c r="N168" t="s">
        <v>20</v>
      </c>
      <c r="O168" t="str">
        <f t="shared" si="2"/>
        <v>Ok</v>
      </c>
      <c r="P168">
        <f>VLOOKUP(G168, Supplier_Info!$A$1:$D$5, 2, FALSE)</f>
        <v>88</v>
      </c>
      <c r="Q168" t="str">
        <f>VLOOKUP(G168, Supplier_Info!$A$1:$D$5, 4, FALSE)</f>
        <v>Preferred</v>
      </c>
    </row>
    <row r="169" spans="1:17" x14ac:dyDescent="0.35">
      <c r="A169">
        <v>168</v>
      </c>
      <c r="B169" t="s">
        <v>182</v>
      </c>
      <c r="C169" t="s">
        <v>55</v>
      </c>
      <c r="D169" t="s">
        <v>16</v>
      </c>
      <c r="E169" t="s">
        <v>24</v>
      </c>
      <c r="F169" t="s">
        <v>18</v>
      </c>
      <c r="G169" t="s">
        <v>29</v>
      </c>
      <c r="H169">
        <v>214</v>
      </c>
      <c r="I169">
        <v>194.76</v>
      </c>
      <c r="J169">
        <v>293.19</v>
      </c>
      <c r="K169">
        <v>20</v>
      </c>
      <c r="L169">
        <v>37</v>
      </c>
      <c r="M169">
        <v>52</v>
      </c>
      <c r="N169" t="s">
        <v>20</v>
      </c>
      <c r="O169" t="str">
        <f t="shared" si="2"/>
        <v>Reorder Now</v>
      </c>
      <c r="P169">
        <f>VLOOKUP(G169, Supplier_Info!$A$1:$D$5, 2, FALSE)</f>
        <v>65</v>
      </c>
      <c r="Q169" t="str">
        <f>VLOOKUP(G169, Supplier_Info!$A$1:$D$5, 4, FALSE)</f>
        <v>Standard</v>
      </c>
    </row>
    <row r="170" spans="1:17" x14ac:dyDescent="0.35">
      <c r="A170">
        <v>169</v>
      </c>
      <c r="B170" t="s">
        <v>183</v>
      </c>
      <c r="C170" t="s">
        <v>45</v>
      </c>
      <c r="D170" t="s">
        <v>35</v>
      </c>
      <c r="E170" t="s">
        <v>27</v>
      </c>
      <c r="F170" t="s">
        <v>28</v>
      </c>
      <c r="G170" t="s">
        <v>19</v>
      </c>
      <c r="H170">
        <v>287</v>
      </c>
      <c r="I170">
        <v>141.13999999999999</v>
      </c>
      <c r="J170">
        <v>245.44</v>
      </c>
      <c r="K170">
        <v>20</v>
      </c>
      <c r="L170">
        <v>93</v>
      </c>
      <c r="M170">
        <v>53</v>
      </c>
      <c r="N170" t="s">
        <v>20</v>
      </c>
      <c r="O170" t="str">
        <f t="shared" si="2"/>
        <v>Ok</v>
      </c>
      <c r="P170">
        <f>VLOOKUP(G170, Supplier_Info!$A$1:$D$5, 2, FALSE)</f>
        <v>78</v>
      </c>
      <c r="Q170" t="str">
        <f>VLOOKUP(G170, Supplier_Info!$A$1:$D$5, 4, FALSE)</f>
        <v>Standard</v>
      </c>
    </row>
    <row r="171" spans="1:17" x14ac:dyDescent="0.35">
      <c r="A171">
        <v>170</v>
      </c>
      <c r="B171" t="s">
        <v>134</v>
      </c>
      <c r="C171" t="s">
        <v>102</v>
      </c>
      <c r="D171" t="s">
        <v>16</v>
      </c>
      <c r="E171" t="s">
        <v>17</v>
      </c>
      <c r="F171" t="s">
        <v>32</v>
      </c>
      <c r="G171" t="s">
        <v>29</v>
      </c>
      <c r="H171">
        <v>170</v>
      </c>
      <c r="I171">
        <v>23.09</v>
      </c>
      <c r="J171">
        <v>31.92</v>
      </c>
      <c r="K171">
        <v>9</v>
      </c>
      <c r="L171">
        <v>177</v>
      </c>
      <c r="M171">
        <v>92</v>
      </c>
      <c r="N171" t="s">
        <v>20</v>
      </c>
      <c r="O171" t="str">
        <f t="shared" si="2"/>
        <v>Ok</v>
      </c>
      <c r="P171">
        <f>VLOOKUP(G171, Supplier_Info!$A$1:$D$5, 2, FALSE)</f>
        <v>65</v>
      </c>
      <c r="Q171" t="str">
        <f>VLOOKUP(G171, Supplier_Info!$A$1:$D$5, 4, FALSE)</f>
        <v>Standard</v>
      </c>
    </row>
    <row r="172" spans="1:17" x14ac:dyDescent="0.35">
      <c r="A172">
        <v>171</v>
      </c>
      <c r="B172" t="s">
        <v>184</v>
      </c>
      <c r="C172" t="s">
        <v>45</v>
      </c>
      <c r="D172" t="s">
        <v>35</v>
      </c>
      <c r="E172" t="s">
        <v>17</v>
      </c>
      <c r="F172" t="s">
        <v>32</v>
      </c>
      <c r="G172" t="s">
        <v>29</v>
      </c>
      <c r="H172">
        <v>278</v>
      </c>
      <c r="I172">
        <v>141.13999999999999</v>
      </c>
      <c r="J172">
        <v>227.59</v>
      </c>
      <c r="K172">
        <v>4</v>
      </c>
      <c r="L172">
        <v>257</v>
      </c>
      <c r="M172">
        <v>63</v>
      </c>
      <c r="N172" t="s">
        <v>20</v>
      </c>
      <c r="O172" t="str">
        <f t="shared" si="2"/>
        <v>Ok</v>
      </c>
      <c r="P172">
        <f>VLOOKUP(G172, Supplier_Info!$A$1:$D$5, 2, FALSE)</f>
        <v>65</v>
      </c>
      <c r="Q172" t="str">
        <f>VLOOKUP(G172, Supplier_Info!$A$1:$D$5, 4, FALSE)</f>
        <v>Standard</v>
      </c>
    </row>
    <row r="173" spans="1:17" x14ac:dyDescent="0.35">
      <c r="A173">
        <v>172</v>
      </c>
      <c r="B173" t="s">
        <v>73</v>
      </c>
      <c r="C173" t="s">
        <v>53</v>
      </c>
      <c r="D173" t="s">
        <v>23</v>
      </c>
      <c r="E173" t="s">
        <v>24</v>
      </c>
      <c r="F173" t="s">
        <v>32</v>
      </c>
      <c r="G173" t="s">
        <v>51</v>
      </c>
      <c r="H173">
        <v>19</v>
      </c>
      <c r="I173">
        <v>112.65</v>
      </c>
      <c r="J173">
        <v>148.77000000000001</v>
      </c>
      <c r="K173">
        <v>4</v>
      </c>
      <c r="L173">
        <v>23</v>
      </c>
      <c r="M173">
        <v>87</v>
      </c>
      <c r="N173" t="s">
        <v>20</v>
      </c>
      <c r="O173" t="str">
        <f t="shared" si="2"/>
        <v>Reorder Now</v>
      </c>
      <c r="P173">
        <f>VLOOKUP(G173, Supplier_Info!$A$1:$D$5, 2, FALSE)</f>
        <v>92</v>
      </c>
      <c r="Q173" t="str">
        <f>VLOOKUP(G173, Supplier_Info!$A$1:$D$5, 4, FALSE)</f>
        <v>Preferred</v>
      </c>
    </row>
    <row r="174" spans="1:17" x14ac:dyDescent="0.35">
      <c r="A174">
        <v>173</v>
      </c>
      <c r="B174" t="s">
        <v>105</v>
      </c>
      <c r="C174" t="s">
        <v>98</v>
      </c>
      <c r="D174" t="s">
        <v>35</v>
      </c>
      <c r="E174" t="s">
        <v>17</v>
      </c>
      <c r="F174" t="s">
        <v>18</v>
      </c>
      <c r="G174" t="s">
        <v>29</v>
      </c>
      <c r="H174">
        <v>284</v>
      </c>
      <c r="I174">
        <v>109.56</v>
      </c>
      <c r="J174">
        <v>191.13</v>
      </c>
      <c r="K174">
        <v>11</v>
      </c>
      <c r="L174">
        <v>328</v>
      </c>
      <c r="M174">
        <v>97</v>
      </c>
      <c r="N174" t="s">
        <v>20</v>
      </c>
      <c r="O174" t="str">
        <f t="shared" si="2"/>
        <v>Ok</v>
      </c>
      <c r="P174">
        <f>VLOOKUP(G174, Supplier_Info!$A$1:$D$5, 2, FALSE)</f>
        <v>65</v>
      </c>
      <c r="Q174" t="str">
        <f>VLOOKUP(G174, Supplier_Info!$A$1:$D$5, 4, FALSE)</f>
        <v>Standard</v>
      </c>
    </row>
    <row r="175" spans="1:17" x14ac:dyDescent="0.35">
      <c r="A175">
        <v>174</v>
      </c>
      <c r="B175" t="s">
        <v>105</v>
      </c>
      <c r="C175" t="s">
        <v>72</v>
      </c>
      <c r="D175" t="s">
        <v>35</v>
      </c>
      <c r="E175" t="s">
        <v>24</v>
      </c>
      <c r="F175" t="s">
        <v>32</v>
      </c>
      <c r="G175" t="s">
        <v>19</v>
      </c>
      <c r="H175">
        <v>35</v>
      </c>
      <c r="I175">
        <v>147.30000000000001</v>
      </c>
      <c r="J175">
        <v>196.86</v>
      </c>
      <c r="K175">
        <v>7</v>
      </c>
      <c r="L175">
        <v>225</v>
      </c>
      <c r="M175">
        <v>126</v>
      </c>
      <c r="N175" t="s">
        <v>20</v>
      </c>
      <c r="O175" t="str">
        <f t="shared" si="2"/>
        <v>Ok</v>
      </c>
      <c r="P175">
        <f>VLOOKUP(G175, Supplier_Info!$A$1:$D$5, 2, FALSE)</f>
        <v>78</v>
      </c>
      <c r="Q175" t="str">
        <f>VLOOKUP(G175, Supplier_Info!$A$1:$D$5, 4, FALSE)</f>
        <v>Standard</v>
      </c>
    </row>
    <row r="176" spans="1:17" x14ac:dyDescent="0.35">
      <c r="A176">
        <v>175</v>
      </c>
      <c r="B176" t="s">
        <v>151</v>
      </c>
      <c r="C176" t="s">
        <v>107</v>
      </c>
      <c r="D176" t="s">
        <v>50</v>
      </c>
      <c r="E176" t="s">
        <v>17</v>
      </c>
      <c r="F176" t="s">
        <v>32</v>
      </c>
      <c r="G176" t="s">
        <v>51</v>
      </c>
      <c r="H176">
        <v>168</v>
      </c>
      <c r="I176">
        <v>23.86</v>
      </c>
      <c r="J176">
        <v>41.3</v>
      </c>
      <c r="K176">
        <v>13</v>
      </c>
      <c r="L176">
        <v>499</v>
      </c>
      <c r="M176">
        <v>122</v>
      </c>
      <c r="N176" t="s">
        <v>20</v>
      </c>
      <c r="O176" t="str">
        <f t="shared" si="2"/>
        <v>Ok</v>
      </c>
      <c r="P176">
        <f>VLOOKUP(G176, Supplier_Info!$A$1:$D$5, 2, FALSE)</f>
        <v>92</v>
      </c>
      <c r="Q176" t="str">
        <f>VLOOKUP(G176, Supplier_Info!$A$1:$D$5, 4, FALSE)</f>
        <v>Preferred</v>
      </c>
    </row>
    <row r="177" spans="1:17" x14ac:dyDescent="0.35">
      <c r="A177">
        <v>176</v>
      </c>
      <c r="B177" t="s">
        <v>185</v>
      </c>
      <c r="C177" t="s">
        <v>107</v>
      </c>
      <c r="D177" t="s">
        <v>50</v>
      </c>
      <c r="E177" t="s">
        <v>24</v>
      </c>
      <c r="F177" t="s">
        <v>18</v>
      </c>
      <c r="G177" t="s">
        <v>40</v>
      </c>
      <c r="H177">
        <v>67</v>
      </c>
      <c r="I177">
        <v>23.86</v>
      </c>
      <c r="J177">
        <v>33.9</v>
      </c>
      <c r="K177">
        <v>10</v>
      </c>
      <c r="L177">
        <v>230</v>
      </c>
      <c r="M177">
        <v>83</v>
      </c>
      <c r="N177" t="s">
        <v>20</v>
      </c>
      <c r="O177" t="str">
        <f t="shared" si="2"/>
        <v>Ok</v>
      </c>
      <c r="P177">
        <f>VLOOKUP(G177, Supplier_Info!$A$1:$D$5, 2, FALSE)</f>
        <v>88</v>
      </c>
      <c r="Q177" t="str">
        <f>VLOOKUP(G177, Supplier_Info!$A$1:$D$5, 4, FALSE)</f>
        <v>Preferred</v>
      </c>
    </row>
    <row r="178" spans="1:17" x14ac:dyDescent="0.35">
      <c r="A178">
        <v>177</v>
      </c>
      <c r="B178" t="s">
        <v>58</v>
      </c>
      <c r="C178" t="s">
        <v>15</v>
      </c>
      <c r="D178" t="s">
        <v>16</v>
      </c>
      <c r="E178" t="s">
        <v>24</v>
      </c>
      <c r="F178" t="s">
        <v>32</v>
      </c>
      <c r="G178" t="s">
        <v>40</v>
      </c>
      <c r="H178">
        <v>86</v>
      </c>
      <c r="I178">
        <v>191.66</v>
      </c>
      <c r="J178">
        <v>341.41</v>
      </c>
      <c r="K178">
        <v>12</v>
      </c>
      <c r="L178">
        <v>478</v>
      </c>
      <c r="M178">
        <v>100</v>
      </c>
      <c r="N178" t="s">
        <v>20</v>
      </c>
      <c r="O178" t="str">
        <f t="shared" si="2"/>
        <v>Ok</v>
      </c>
      <c r="P178">
        <f>VLOOKUP(G178, Supplier_Info!$A$1:$D$5, 2, FALSE)</f>
        <v>88</v>
      </c>
      <c r="Q178" t="str">
        <f>VLOOKUP(G178, Supplier_Info!$A$1:$D$5, 4, FALSE)</f>
        <v>Preferred</v>
      </c>
    </row>
    <row r="179" spans="1:17" x14ac:dyDescent="0.35">
      <c r="A179">
        <v>178</v>
      </c>
      <c r="B179" t="s">
        <v>186</v>
      </c>
      <c r="C179" t="s">
        <v>98</v>
      </c>
      <c r="D179" t="s">
        <v>35</v>
      </c>
      <c r="E179" t="s">
        <v>27</v>
      </c>
      <c r="F179" t="s">
        <v>28</v>
      </c>
      <c r="G179" t="s">
        <v>29</v>
      </c>
      <c r="H179">
        <v>259</v>
      </c>
      <c r="I179">
        <v>109.56</v>
      </c>
      <c r="J179">
        <v>190.58</v>
      </c>
      <c r="K179">
        <v>2</v>
      </c>
      <c r="L179">
        <v>46</v>
      </c>
      <c r="M179">
        <v>120</v>
      </c>
      <c r="N179" t="s">
        <v>20</v>
      </c>
      <c r="O179" t="str">
        <f t="shared" si="2"/>
        <v>Reorder Now</v>
      </c>
      <c r="P179">
        <f>VLOOKUP(G179, Supplier_Info!$A$1:$D$5, 2, FALSE)</f>
        <v>65</v>
      </c>
      <c r="Q179" t="str">
        <f>VLOOKUP(G179, Supplier_Info!$A$1:$D$5, 4, FALSE)</f>
        <v>Standard</v>
      </c>
    </row>
    <row r="180" spans="1:17" x14ac:dyDescent="0.35">
      <c r="A180">
        <v>179</v>
      </c>
      <c r="B180" t="s">
        <v>168</v>
      </c>
      <c r="C180" t="s">
        <v>59</v>
      </c>
      <c r="D180" t="s">
        <v>23</v>
      </c>
      <c r="E180" t="s">
        <v>27</v>
      </c>
      <c r="F180" t="s">
        <v>18</v>
      </c>
      <c r="G180" t="s">
        <v>19</v>
      </c>
      <c r="H180">
        <v>258</v>
      </c>
      <c r="I180">
        <v>162.84</v>
      </c>
      <c r="J180">
        <v>215.81</v>
      </c>
      <c r="K180">
        <v>21</v>
      </c>
      <c r="L180">
        <v>451</v>
      </c>
      <c r="M180">
        <v>140</v>
      </c>
      <c r="N180" t="s">
        <v>20</v>
      </c>
      <c r="O180" t="str">
        <f t="shared" si="2"/>
        <v>Ok</v>
      </c>
      <c r="P180">
        <f>VLOOKUP(G180, Supplier_Info!$A$1:$D$5, 2, FALSE)</f>
        <v>78</v>
      </c>
      <c r="Q180" t="str">
        <f>VLOOKUP(G180, Supplier_Info!$A$1:$D$5, 4, FALSE)</f>
        <v>Standard</v>
      </c>
    </row>
    <row r="181" spans="1:17" x14ac:dyDescent="0.35">
      <c r="A181">
        <v>180</v>
      </c>
      <c r="B181" t="s">
        <v>161</v>
      </c>
      <c r="C181" t="s">
        <v>61</v>
      </c>
      <c r="D181" t="s">
        <v>23</v>
      </c>
      <c r="E181" t="s">
        <v>27</v>
      </c>
      <c r="F181" t="s">
        <v>18</v>
      </c>
      <c r="G181" t="s">
        <v>29</v>
      </c>
      <c r="H181">
        <v>211</v>
      </c>
      <c r="I181">
        <v>70.64</v>
      </c>
      <c r="J181">
        <v>117.53</v>
      </c>
      <c r="K181">
        <v>13</v>
      </c>
      <c r="L181">
        <v>23</v>
      </c>
      <c r="M181">
        <v>122</v>
      </c>
      <c r="N181" t="s">
        <v>20</v>
      </c>
      <c r="O181" t="str">
        <f t="shared" si="2"/>
        <v>Reorder Now</v>
      </c>
      <c r="P181">
        <f>VLOOKUP(G181, Supplier_Info!$A$1:$D$5, 2, FALSE)</f>
        <v>65</v>
      </c>
      <c r="Q181" t="str">
        <f>VLOOKUP(G181, Supplier_Info!$A$1:$D$5, 4, FALSE)</f>
        <v>Standard</v>
      </c>
    </row>
    <row r="182" spans="1:17" x14ac:dyDescent="0.35">
      <c r="A182">
        <v>181</v>
      </c>
      <c r="B182" t="s">
        <v>95</v>
      </c>
      <c r="C182" t="s">
        <v>88</v>
      </c>
      <c r="D182" t="s">
        <v>89</v>
      </c>
      <c r="E182" t="s">
        <v>24</v>
      </c>
      <c r="F182" t="s">
        <v>18</v>
      </c>
      <c r="G182" t="s">
        <v>29</v>
      </c>
      <c r="H182">
        <v>235</v>
      </c>
      <c r="I182">
        <v>6.27</v>
      </c>
      <c r="J182">
        <v>9.36</v>
      </c>
      <c r="K182">
        <v>19</v>
      </c>
      <c r="L182">
        <v>143</v>
      </c>
      <c r="M182">
        <v>50</v>
      </c>
      <c r="N182" t="s">
        <v>43</v>
      </c>
      <c r="O182" t="str">
        <f t="shared" si="2"/>
        <v>Ok</v>
      </c>
      <c r="P182">
        <f>VLOOKUP(G182, Supplier_Info!$A$1:$D$5, 2, FALSE)</f>
        <v>65</v>
      </c>
      <c r="Q182" t="str">
        <f>VLOOKUP(G182, Supplier_Info!$A$1:$D$5, 4, FALSE)</f>
        <v>Standard</v>
      </c>
    </row>
    <row r="183" spans="1:17" x14ac:dyDescent="0.35">
      <c r="A183">
        <v>182</v>
      </c>
      <c r="B183" t="s">
        <v>187</v>
      </c>
      <c r="C183" t="s">
        <v>39</v>
      </c>
      <c r="D183" t="s">
        <v>16</v>
      </c>
      <c r="E183" t="s">
        <v>27</v>
      </c>
      <c r="F183" t="s">
        <v>28</v>
      </c>
      <c r="G183" t="s">
        <v>19</v>
      </c>
      <c r="H183">
        <v>78</v>
      </c>
      <c r="I183">
        <v>78.81</v>
      </c>
      <c r="J183">
        <v>139.44999999999999</v>
      </c>
      <c r="K183">
        <v>8</v>
      </c>
      <c r="L183">
        <v>308</v>
      </c>
      <c r="M183">
        <v>150</v>
      </c>
      <c r="N183" t="s">
        <v>20</v>
      </c>
      <c r="O183" t="str">
        <f t="shared" si="2"/>
        <v>Ok</v>
      </c>
      <c r="P183">
        <f>VLOOKUP(G183, Supplier_Info!$A$1:$D$5, 2, FALSE)</f>
        <v>78</v>
      </c>
      <c r="Q183" t="str">
        <f>VLOOKUP(G183, Supplier_Info!$A$1:$D$5, 4, FALSE)</f>
        <v>Standard</v>
      </c>
    </row>
    <row r="184" spans="1:17" x14ac:dyDescent="0.35">
      <c r="A184">
        <v>183</v>
      </c>
      <c r="B184" t="s">
        <v>171</v>
      </c>
      <c r="C184" t="s">
        <v>49</v>
      </c>
      <c r="D184" t="s">
        <v>50</v>
      </c>
      <c r="E184" t="s">
        <v>17</v>
      </c>
      <c r="F184" t="s">
        <v>18</v>
      </c>
      <c r="G184" t="s">
        <v>19</v>
      </c>
      <c r="H184">
        <v>247</v>
      </c>
      <c r="I184">
        <v>117.58</v>
      </c>
      <c r="J184">
        <v>172.43</v>
      </c>
      <c r="K184">
        <v>18</v>
      </c>
      <c r="L184">
        <v>233</v>
      </c>
      <c r="M184">
        <v>58</v>
      </c>
      <c r="N184" t="s">
        <v>20</v>
      </c>
      <c r="O184" t="str">
        <f t="shared" si="2"/>
        <v>Ok</v>
      </c>
      <c r="P184">
        <f>VLOOKUP(G184, Supplier_Info!$A$1:$D$5, 2, FALSE)</f>
        <v>78</v>
      </c>
      <c r="Q184" t="str">
        <f>VLOOKUP(G184, Supplier_Info!$A$1:$D$5, 4, FALSE)</f>
        <v>Standard</v>
      </c>
    </row>
    <row r="185" spans="1:17" x14ac:dyDescent="0.35">
      <c r="A185">
        <v>184</v>
      </c>
      <c r="B185" t="s">
        <v>33</v>
      </c>
      <c r="C185" t="s">
        <v>70</v>
      </c>
      <c r="D185" t="s">
        <v>23</v>
      </c>
      <c r="E185" t="s">
        <v>17</v>
      </c>
      <c r="F185" t="s">
        <v>32</v>
      </c>
      <c r="G185" t="s">
        <v>29</v>
      </c>
      <c r="H185">
        <v>158</v>
      </c>
      <c r="I185">
        <v>122.73</v>
      </c>
      <c r="J185">
        <v>220.34</v>
      </c>
      <c r="K185">
        <v>20</v>
      </c>
      <c r="L185">
        <v>172</v>
      </c>
      <c r="M185">
        <v>149</v>
      </c>
      <c r="N185" t="s">
        <v>20</v>
      </c>
      <c r="O185" t="str">
        <f t="shared" si="2"/>
        <v>Ok</v>
      </c>
      <c r="P185">
        <f>VLOOKUP(G185, Supplier_Info!$A$1:$D$5, 2, FALSE)</f>
        <v>65</v>
      </c>
      <c r="Q185" t="str">
        <f>VLOOKUP(G185, Supplier_Info!$A$1:$D$5, 4, FALSE)</f>
        <v>Standard</v>
      </c>
    </row>
    <row r="186" spans="1:17" x14ac:dyDescent="0.35">
      <c r="A186">
        <v>185</v>
      </c>
      <c r="B186" t="s">
        <v>188</v>
      </c>
      <c r="C186" t="s">
        <v>98</v>
      </c>
      <c r="D186" t="s">
        <v>35</v>
      </c>
      <c r="E186" t="s">
        <v>17</v>
      </c>
      <c r="F186" t="s">
        <v>32</v>
      </c>
      <c r="G186" t="s">
        <v>51</v>
      </c>
      <c r="H186">
        <v>193</v>
      </c>
      <c r="I186">
        <v>109.56</v>
      </c>
      <c r="J186">
        <v>187.11</v>
      </c>
      <c r="K186">
        <v>12</v>
      </c>
      <c r="L186">
        <v>344</v>
      </c>
      <c r="M186">
        <v>48</v>
      </c>
      <c r="N186" t="s">
        <v>20</v>
      </c>
      <c r="O186" t="str">
        <f t="shared" si="2"/>
        <v>Ok</v>
      </c>
      <c r="P186">
        <f>VLOOKUP(G186, Supplier_Info!$A$1:$D$5, 2, FALSE)</f>
        <v>92</v>
      </c>
      <c r="Q186" t="str">
        <f>VLOOKUP(G186, Supplier_Info!$A$1:$D$5, 4, FALSE)</f>
        <v>Preferred</v>
      </c>
    </row>
    <row r="187" spans="1:17" x14ac:dyDescent="0.35">
      <c r="A187">
        <v>186</v>
      </c>
      <c r="B187" t="s">
        <v>189</v>
      </c>
      <c r="C187" t="s">
        <v>68</v>
      </c>
      <c r="D187" t="s">
        <v>16</v>
      </c>
      <c r="E187" t="s">
        <v>17</v>
      </c>
      <c r="F187" t="s">
        <v>32</v>
      </c>
      <c r="G187" t="s">
        <v>40</v>
      </c>
      <c r="H187">
        <v>300</v>
      </c>
      <c r="I187">
        <v>166.73</v>
      </c>
      <c r="J187">
        <v>256.31</v>
      </c>
      <c r="K187">
        <v>9</v>
      </c>
      <c r="L187">
        <v>369</v>
      </c>
      <c r="M187">
        <v>33</v>
      </c>
      <c r="N187" t="s">
        <v>20</v>
      </c>
      <c r="O187" t="str">
        <f t="shared" si="2"/>
        <v>Ok</v>
      </c>
      <c r="P187">
        <f>VLOOKUP(G187, Supplier_Info!$A$1:$D$5, 2, FALSE)</f>
        <v>88</v>
      </c>
      <c r="Q187" t="str">
        <f>VLOOKUP(G187, Supplier_Info!$A$1:$D$5, 4, FALSE)</f>
        <v>Preferred</v>
      </c>
    </row>
    <row r="188" spans="1:17" x14ac:dyDescent="0.35">
      <c r="A188">
        <v>187</v>
      </c>
      <c r="B188" t="s">
        <v>58</v>
      </c>
      <c r="C188" t="s">
        <v>45</v>
      </c>
      <c r="D188" t="s">
        <v>35</v>
      </c>
      <c r="E188" t="s">
        <v>24</v>
      </c>
      <c r="F188" t="s">
        <v>18</v>
      </c>
      <c r="G188" t="s">
        <v>19</v>
      </c>
      <c r="H188">
        <v>129</v>
      </c>
      <c r="I188">
        <v>141.13999999999999</v>
      </c>
      <c r="J188">
        <v>241.47</v>
      </c>
      <c r="K188">
        <v>3</v>
      </c>
      <c r="L188">
        <v>293</v>
      </c>
      <c r="M188">
        <v>48</v>
      </c>
      <c r="N188" t="s">
        <v>20</v>
      </c>
      <c r="O188" t="str">
        <f t="shared" si="2"/>
        <v>Ok</v>
      </c>
      <c r="P188">
        <f>VLOOKUP(G188, Supplier_Info!$A$1:$D$5, 2, FALSE)</f>
        <v>78</v>
      </c>
      <c r="Q188" t="str">
        <f>VLOOKUP(G188, Supplier_Info!$A$1:$D$5, 4, FALSE)</f>
        <v>Standard</v>
      </c>
    </row>
    <row r="189" spans="1:17" x14ac:dyDescent="0.35">
      <c r="A189">
        <v>188</v>
      </c>
      <c r="B189" t="s">
        <v>147</v>
      </c>
      <c r="C189" t="s">
        <v>80</v>
      </c>
      <c r="D189" t="s">
        <v>23</v>
      </c>
      <c r="E189" t="s">
        <v>17</v>
      </c>
      <c r="F189" t="s">
        <v>28</v>
      </c>
      <c r="G189" t="s">
        <v>29</v>
      </c>
      <c r="H189">
        <v>215</v>
      </c>
      <c r="I189">
        <v>162.38999999999999</v>
      </c>
      <c r="J189">
        <v>267.17</v>
      </c>
      <c r="K189">
        <v>18</v>
      </c>
      <c r="L189">
        <v>396</v>
      </c>
      <c r="M189">
        <v>140</v>
      </c>
      <c r="N189" t="s">
        <v>20</v>
      </c>
      <c r="O189" t="str">
        <f t="shared" si="2"/>
        <v>Ok</v>
      </c>
      <c r="P189">
        <f>VLOOKUP(G189, Supplier_Info!$A$1:$D$5, 2, FALSE)</f>
        <v>65</v>
      </c>
      <c r="Q189" t="str">
        <f>VLOOKUP(G189, Supplier_Info!$A$1:$D$5, 4, FALSE)</f>
        <v>Standard</v>
      </c>
    </row>
    <row r="190" spans="1:17" x14ac:dyDescent="0.35">
      <c r="A190">
        <v>189</v>
      </c>
      <c r="B190" t="s">
        <v>135</v>
      </c>
      <c r="C190" t="s">
        <v>26</v>
      </c>
      <c r="D190" t="s">
        <v>16</v>
      </c>
      <c r="E190" t="s">
        <v>24</v>
      </c>
      <c r="F190" t="s">
        <v>32</v>
      </c>
      <c r="G190" t="s">
        <v>29</v>
      </c>
      <c r="H190">
        <v>197</v>
      </c>
      <c r="I190">
        <v>173.03</v>
      </c>
      <c r="J190">
        <v>266.33</v>
      </c>
      <c r="K190">
        <v>12</v>
      </c>
      <c r="L190">
        <v>489</v>
      </c>
      <c r="M190">
        <v>64</v>
      </c>
      <c r="N190" t="s">
        <v>43</v>
      </c>
      <c r="O190" t="str">
        <f t="shared" si="2"/>
        <v>Ok</v>
      </c>
      <c r="P190">
        <f>VLOOKUP(G190, Supplier_Info!$A$1:$D$5, 2, FALSE)</f>
        <v>65</v>
      </c>
      <c r="Q190" t="str">
        <f>VLOOKUP(G190, Supplier_Info!$A$1:$D$5, 4, FALSE)</f>
        <v>Standard</v>
      </c>
    </row>
    <row r="191" spans="1:17" x14ac:dyDescent="0.35">
      <c r="A191">
        <v>190</v>
      </c>
      <c r="B191" t="s">
        <v>93</v>
      </c>
      <c r="C191" t="s">
        <v>26</v>
      </c>
      <c r="D191" t="s">
        <v>16</v>
      </c>
      <c r="E191" t="s">
        <v>24</v>
      </c>
      <c r="F191" t="s">
        <v>28</v>
      </c>
      <c r="G191" t="s">
        <v>29</v>
      </c>
      <c r="H191">
        <v>140</v>
      </c>
      <c r="I191">
        <v>173.03</v>
      </c>
      <c r="J191">
        <v>291.73</v>
      </c>
      <c r="K191">
        <v>21</v>
      </c>
      <c r="L191">
        <v>247</v>
      </c>
      <c r="M191">
        <v>69</v>
      </c>
      <c r="N191" t="s">
        <v>20</v>
      </c>
      <c r="O191" t="str">
        <f t="shared" si="2"/>
        <v>Ok</v>
      </c>
      <c r="P191">
        <f>VLOOKUP(G191, Supplier_Info!$A$1:$D$5, 2, FALSE)</f>
        <v>65</v>
      </c>
      <c r="Q191" t="str">
        <f>VLOOKUP(G191, Supplier_Info!$A$1:$D$5, 4, FALSE)</f>
        <v>Standard</v>
      </c>
    </row>
    <row r="192" spans="1:17" x14ac:dyDescent="0.35">
      <c r="A192">
        <v>191</v>
      </c>
      <c r="B192" t="s">
        <v>190</v>
      </c>
      <c r="C192" t="s">
        <v>63</v>
      </c>
      <c r="D192" t="s">
        <v>50</v>
      </c>
      <c r="E192" t="s">
        <v>17</v>
      </c>
      <c r="F192" t="s">
        <v>18</v>
      </c>
      <c r="G192" t="s">
        <v>29</v>
      </c>
      <c r="H192">
        <v>111</v>
      </c>
      <c r="I192">
        <v>13.94</v>
      </c>
      <c r="J192">
        <v>20.14</v>
      </c>
      <c r="K192">
        <v>17</v>
      </c>
      <c r="L192">
        <v>162</v>
      </c>
      <c r="M192">
        <v>142</v>
      </c>
      <c r="N192" t="s">
        <v>20</v>
      </c>
      <c r="O192" t="str">
        <f t="shared" si="2"/>
        <v>Ok</v>
      </c>
      <c r="P192">
        <f>VLOOKUP(G192, Supplier_Info!$A$1:$D$5, 2, FALSE)</f>
        <v>65</v>
      </c>
      <c r="Q192" t="str">
        <f>VLOOKUP(G192, Supplier_Info!$A$1:$D$5, 4, FALSE)</f>
        <v>Standard</v>
      </c>
    </row>
    <row r="193" spans="1:17" x14ac:dyDescent="0.35">
      <c r="A193">
        <v>192</v>
      </c>
      <c r="B193" t="s">
        <v>174</v>
      </c>
      <c r="C193" t="s">
        <v>57</v>
      </c>
      <c r="D193" t="s">
        <v>35</v>
      </c>
      <c r="E193" t="s">
        <v>27</v>
      </c>
      <c r="F193" t="s">
        <v>18</v>
      </c>
      <c r="G193" t="s">
        <v>51</v>
      </c>
      <c r="H193">
        <v>283</v>
      </c>
      <c r="I193">
        <v>162.13</v>
      </c>
      <c r="J193">
        <v>257.26</v>
      </c>
      <c r="K193">
        <v>14</v>
      </c>
      <c r="L193">
        <v>458</v>
      </c>
      <c r="M193">
        <v>121</v>
      </c>
      <c r="N193" t="s">
        <v>43</v>
      </c>
      <c r="O193" t="str">
        <f t="shared" si="2"/>
        <v>Ok</v>
      </c>
      <c r="P193">
        <f>VLOOKUP(G193, Supplier_Info!$A$1:$D$5, 2, FALSE)</f>
        <v>92</v>
      </c>
      <c r="Q193" t="str">
        <f>VLOOKUP(G193, Supplier_Info!$A$1:$D$5, 4, FALSE)</f>
        <v>Preferred</v>
      </c>
    </row>
    <row r="194" spans="1:17" x14ac:dyDescent="0.35">
      <c r="A194">
        <v>193</v>
      </c>
      <c r="B194" t="s">
        <v>191</v>
      </c>
      <c r="C194" t="s">
        <v>102</v>
      </c>
      <c r="D194" t="s">
        <v>16</v>
      </c>
      <c r="E194" t="s">
        <v>27</v>
      </c>
      <c r="F194" t="s">
        <v>28</v>
      </c>
      <c r="G194" t="s">
        <v>29</v>
      </c>
      <c r="H194">
        <v>45</v>
      </c>
      <c r="I194">
        <v>23.09</v>
      </c>
      <c r="J194">
        <v>41.05</v>
      </c>
      <c r="K194">
        <v>13</v>
      </c>
      <c r="L194">
        <v>473</v>
      </c>
      <c r="M194">
        <v>133</v>
      </c>
      <c r="N194" t="s">
        <v>20</v>
      </c>
      <c r="O194" t="str">
        <f t="shared" si="2"/>
        <v>Ok</v>
      </c>
      <c r="P194">
        <f>VLOOKUP(G194, Supplier_Info!$A$1:$D$5, 2, FALSE)</f>
        <v>65</v>
      </c>
      <c r="Q194" t="str">
        <f>VLOOKUP(G194, Supplier_Info!$A$1:$D$5, 4, FALSE)</f>
        <v>Standard</v>
      </c>
    </row>
    <row r="195" spans="1:17" x14ac:dyDescent="0.35">
      <c r="A195">
        <v>194</v>
      </c>
      <c r="B195" t="s">
        <v>106</v>
      </c>
      <c r="C195" t="s">
        <v>39</v>
      </c>
      <c r="D195" t="s">
        <v>16</v>
      </c>
      <c r="E195" t="s">
        <v>17</v>
      </c>
      <c r="F195" t="s">
        <v>28</v>
      </c>
      <c r="G195" t="s">
        <v>19</v>
      </c>
      <c r="H195">
        <v>75</v>
      </c>
      <c r="I195">
        <v>78.81</v>
      </c>
      <c r="J195">
        <v>129.88999999999999</v>
      </c>
      <c r="K195">
        <v>5</v>
      </c>
      <c r="L195">
        <v>315</v>
      </c>
      <c r="M195">
        <v>81</v>
      </c>
      <c r="N195" t="s">
        <v>20</v>
      </c>
      <c r="O195" t="str">
        <f t="shared" ref="O195:O201" si="3">IF(L195&lt;M195, "Reorder Now", "Ok")</f>
        <v>Ok</v>
      </c>
      <c r="P195">
        <f>VLOOKUP(G195, Supplier_Info!$A$1:$D$5, 2, FALSE)</f>
        <v>78</v>
      </c>
      <c r="Q195" t="str">
        <f>VLOOKUP(G195, Supplier_Info!$A$1:$D$5, 4, FALSE)</f>
        <v>Standard</v>
      </c>
    </row>
    <row r="196" spans="1:17" x14ac:dyDescent="0.35">
      <c r="A196">
        <v>195</v>
      </c>
      <c r="B196" t="s">
        <v>192</v>
      </c>
      <c r="C196" t="s">
        <v>59</v>
      </c>
      <c r="D196" t="s">
        <v>23</v>
      </c>
      <c r="E196" t="s">
        <v>27</v>
      </c>
      <c r="F196" t="s">
        <v>18</v>
      </c>
      <c r="G196" t="s">
        <v>40</v>
      </c>
      <c r="H196">
        <v>174</v>
      </c>
      <c r="I196">
        <v>162.84</v>
      </c>
      <c r="J196">
        <v>219.85</v>
      </c>
      <c r="K196">
        <v>17</v>
      </c>
      <c r="L196">
        <v>51</v>
      </c>
      <c r="M196">
        <v>55</v>
      </c>
      <c r="N196" t="s">
        <v>43</v>
      </c>
      <c r="O196" t="str">
        <f t="shared" si="3"/>
        <v>Reorder Now</v>
      </c>
      <c r="P196">
        <f>VLOOKUP(G196, Supplier_Info!$A$1:$D$5, 2, FALSE)</f>
        <v>88</v>
      </c>
      <c r="Q196" t="str">
        <f>VLOOKUP(G196, Supplier_Info!$A$1:$D$5, 4, FALSE)</f>
        <v>Preferred</v>
      </c>
    </row>
    <row r="197" spans="1:17" x14ac:dyDescent="0.35">
      <c r="A197">
        <v>196</v>
      </c>
      <c r="B197" t="s">
        <v>193</v>
      </c>
      <c r="C197" t="s">
        <v>98</v>
      </c>
      <c r="D197" t="s">
        <v>35</v>
      </c>
      <c r="E197" t="s">
        <v>27</v>
      </c>
      <c r="F197" t="s">
        <v>32</v>
      </c>
      <c r="G197" t="s">
        <v>51</v>
      </c>
      <c r="H197">
        <v>152</v>
      </c>
      <c r="I197">
        <v>109.56</v>
      </c>
      <c r="J197">
        <v>178.06</v>
      </c>
      <c r="K197">
        <v>12</v>
      </c>
      <c r="L197">
        <v>146</v>
      </c>
      <c r="M197">
        <v>35</v>
      </c>
      <c r="N197" t="s">
        <v>20</v>
      </c>
      <c r="O197" t="str">
        <f t="shared" si="3"/>
        <v>Ok</v>
      </c>
      <c r="P197">
        <f>VLOOKUP(G197, Supplier_Info!$A$1:$D$5, 2, FALSE)</f>
        <v>92</v>
      </c>
      <c r="Q197" t="str">
        <f>VLOOKUP(G197, Supplier_Info!$A$1:$D$5, 4, FALSE)</f>
        <v>Preferred</v>
      </c>
    </row>
    <row r="198" spans="1:17" x14ac:dyDescent="0.35">
      <c r="A198">
        <v>197</v>
      </c>
      <c r="B198" t="s">
        <v>90</v>
      </c>
      <c r="C198" t="s">
        <v>76</v>
      </c>
      <c r="D198" t="s">
        <v>35</v>
      </c>
      <c r="E198" t="s">
        <v>17</v>
      </c>
      <c r="F198" t="s">
        <v>18</v>
      </c>
      <c r="G198" t="s">
        <v>51</v>
      </c>
      <c r="H198">
        <v>95</v>
      </c>
      <c r="I198">
        <v>71.349999999999994</v>
      </c>
      <c r="J198">
        <v>107.66</v>
      </c>
      <c r="K198">
        <v>3</v>
      </c>
      <c r="L198">
        <v>428</v>
      </c>
      <c r="M198">
        <v>121</v>
      </c>
      <c r="N198" t="s">
        <v>20</v>
      </c>
      <c r="O198" t="str">
        <f t="shared" si="3"/>
        <v>Ok</v>
      </c>
      <c r="P198">
        <f>VLOOKUP(G198, Supplier_Info!$A$1:$D$5, 2, FALSE)</f>
        <v>92</v>
      </c>
      <c r="Q198" t="str">
        <f>VLOOKUP(G198, Supplier_Info!$A$1:$D$5, 4, FALSE)</f>
        <v>Preferred</v>
      </c>
    </row>
    <row r="199" spans="1:17" x14ac:dyDescent="0.35">
      <c r="A199">
        <v>198</v>
      </c>
      <c r="B199" t="s">
        <v>158</v>
      </c>
      <c r="C199" t="s">
        <v>42</v>
      </c>
      <c r="D199" t="s">
        <v>23</v>
      </c>
      <c r="E199" t="s">
        <v>27</v>
      </c>
      <c r="F199" t="s">
        <v>32</v>
      </c>
      <c r="G199" t="s">
        <v>40</v>
      </c>
      <c r="H199">
        <v>59</v>
      </c>
      <c r="I199">
        <v>119.91</v>
      </c>
      <c r="J199">
        <v>173.77</v>
      </c>
      <c r="K199">
        <v>12</v>
      </c>
      <c r="L199">
        <v>145</v>
      </c>
      <c r="M199">
        <v>136</v>
      </c>
      <c r="N199" t="s">
        <v>20</v>
      </c>
      <c r="O199" t="str">
        <f t="shared" si="3"/>
        <v>Ok</v>
      </c>
      <c r="P199">
        <f>VLOOKUP(G199, Supplier_Info!$A$1:$D$5, 2, FALSE)</f>
        <v>88</v>
      </c>
      <c r="Q199" t="str">
        <f>VLOOKUP(G199, Supplier_Info!$A$1:$D$5, 4, FALSE)</f>
        <v>Preferred</v>
      </c>
    </row>
    <row r="200" spans="1:17" x14ac:dyDescent="0.35">
      <c r="A200">
        <v>199</v>
      </c>
      <c r="B200" t="s">
        <v>191</v>
      </c>
      <c r="C200" t="s">
        <v>61</v>
      </c>
      <c r="D200" t="s">
        <v>23</v>
      </c>
      <c r="E200" t="s">
        <v>27</v>
      </c>
      <c r="F200" t="s">
        <v>32</v>
      </c>
      <c r="G200" t="s">
        <v>29</v>
      </c>
      <c r="H200">
        <v>62</v>
      </c>
      <c r="I200">
        <v>70.64</v>
      </c>
      <c r="J200">
        <v>98.64</v>
      </c>
      <c r="K200">
        <v>12</v>
      </c>
      <c r="L200">
        <v>83</v>
      </c>
      <c r="M200">
        <v>137</v>
      </c>
      <c r="N200" t="s">
        <v>20</v>
      </c>
      <c r="O200" t="str">
        <f t="shared" si="3"/>
        <v>Reorder Now</v>
      </c>
      <c r="P200">
        <f>VLOOKUP(G200, Supplier_Info!$A$1:$D$5, 2, FALSE)</f>
        <v>65</v>
      </c>
      <c r="Q200" t="str">
        <f>VLOOKUP(G200, Supplier_Info!$A$1:$D$5, 4, FALSE)</f>
        <v>Standard</v>
      </c>
    </row>
    <row r="201" spans="1:17" x14ac:dyDescent="0.35">
      <c r="A201">
        <v>200</v>
      </c>
      <c r="B201" t="s">
        <v>194</v>
      </c>
      <c r="C201" t="s">
        <v>102</v>
      </c>
      <c r="D201" t="s">
        <v>16</v>
      </c>
      <c r="E201" t="s">
        <v>27</v>
      </c>
      <c r="F201" t="s">
        <v>18</v>
      </c>
      <c r="G201" t="s">
        <v>51</v>
      </c>
      <c r="H201">
        <v>103</v>
      </c>
      <c r="I201">
        <v>23.09</v>
      </c>
      <c r="J201">
        <v>36.57</v>
      </c>
      <c r="K201">
        <v>7</v>
      </c>
      <c r="L201">
        <v>312</v>
      </c>
      <c r="M201">
        <v>123</v>
      </c>
      <c r="N201" t="s">
        <v>20</v>
      </c>
      <c r="O201" t="str">
        <f t="shared" si="3"/>
        <v>Ok</v>
      </c>
      <c r="P201">
        <f>VLOOKUP(G201, Supplier_Info!$A$1:$D$5, 2, FALSE)</f>
        <v>92</v>
      </c>
      <c r="Q201" t="str">
        <f>VLOOKUP(G201, Supplier_Info!$A$1:$D$5, 4, FALSE)</f>
        <v>Preferred</v>
      </c>
    </row>
    <row r="204" spans="1:17" x14ac:dyDescent="0.35">
      <c r="A204" t="s">
        <v>208</v>
      </c>
      <c r="O204">
        <f>COUNTIF(O2:O201, "Reorder Now")</f>
        <v>29</v>
      </c>
    </row>
    <row r="205" spans="1:17" x14ac:dyDescent="0.35">
      <c r="A205">
        <f>SUM(H2:H201)</f>
        <v>31724</v>
      </c>
      <c r="O205" s="3"/>
    </row>
    <row r="206" spans="1:17" x14ac:dyDescent="0.35">
      <c r="A206" t="s">
        <v>209</v>
      </c>
    </row>
    <row r="207" spans="1:17" x14ac:dyDescent="0.35">
      <c r="A207">
        <f>AVERAGE(K2:K201)</f>
        <v>11.574999999999999</v>
      </c>
    </row>
    <row r="208" spans="1:17" x14ac:dyDescent="0.35">
      <c r="A208" t="s">
        <v>210</v>
      </c>
    </row>
    <row r="209" spans="1:1" x14ac:dyDescent="0.35">
      <c r="A209">
        <f>COUNTIF(N2:N201, "Late")</f>
        <v>36</v>
      </c>
    </row>
  </sheetData>
  <conditionalFormatting sqref="N2:N201">
    <cfRule type="expression" dxfId="0" priority="1">
      <formula>AND($N2="Late",$Q2="Standard")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Instructions</vt:lpstr>
      <vt:lpstr>Pivot table1</vt:lpstr>
      <vt:lpstr>Supplier_Info</vt:lpstr>
      <vt:lpstr>Pivot table2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2026-07-08T11:26:33Z</dcterms:created>
  <dcterms:modified xsi:type="dcterms:W3CDTF">2026-07-08T19:08:49Z</dcterms:modified>
</cp:coreProperties>
</file>